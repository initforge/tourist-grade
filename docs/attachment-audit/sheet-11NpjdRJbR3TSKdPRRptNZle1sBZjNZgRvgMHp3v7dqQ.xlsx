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ự toán chương trình" sheetId="1" r:id="rId5"/>
    <sheet state="visible" name="Dự toán chi phí tour" sheetId="2" r:id="rId6"/>
    <sheet state="visible" name="Quyết toán" sheetId="3" r:id="rId7"/>
    <sheet state="visible" name="Duyệt tour sinh ra" sheetId="4" r:id="rId8"/>
    <sheet state="visible" name="Sheet6" sheetId="5" r:id="rId9"/>
    <sheet state="hidden" name="Dự toán chương trình bản simple" sheetId="6" r:id="rId10"/>
  </sheets>
  <definedNames/>
  <calcPr/>
</workbook>
</file>

<file path=xl/sharedStrings.xml><?xml version="1.0" encoding="utf-8"?>
<sst xmlns="http://schemas.openxmlformats.org/spreadsheetml/2006/main" count="1353" uniqueCount="370">
  <si>
    <t>Ghi chú</t>
  </si>
  <si>
    <t>Thành phần màn</t>
  </si>
  <si>
    <t>Ý nghĩa</t>
  </si>
  <si>
    <t>Nút chức năng</t>
  </si>
  <si>
    <t>Expand</t>
  </si>
  <si>
    <t>Nhập...</t>
  </si>
  <si>
    <t>Cho phép nhập, nếu ko có cái này thì trường thông tin đó mặc định ko cho phép nhập</t>
  </si>
  <si>
    <t>Khi hover vào nhà cung cấp thì hiển thị thông tin liên lạc</t>
  </si>
  <si>
    <t>Thông tin cấu hình giá tour</t>
  </si>
  <si>
    <t>Khi hover vào dịch vụ của khách sạn, chi phí ăn và vé thắng cảnh thì hiển thị mô tả của dịch vụ</t>
  </si>
  <si>
    <t>Số lượng khách dự kiến:</t>
  </si>
  <si>
    <t>Thuế (%):</t>
  </si>
  <si>
    <t>Tỷ lệ lợi nhuận mong muốn(%):</t>
  </si>
  <si>
    <t>Hệ số chi phí khác (%):</t>
  </si>
  <si>
    <t>Bảng kê chi phí</t>
  </si>
  <si>
    <t>I. Vận chuyển</t>
  </si>
  <si>
    <t>Xe tham quan</t>
  </si>
  <si>
    <t>Đơn giá áp dụng</t>
  </si>
  <si>
    <t>Nhà cung cấp</t>
  </si>
  <si>
    <t>Dịch vụ</t>
  </si>
  <si>
    <t>Báo giá</t>
  </si>
  <si>
    <t>NCC chính</t>
  </si>
  <si>
    <t>Thêm mới NCC➕</t>
  </si>
  <si>
    <t>NCC A</t>
  </si>
  <si>
    <t>Xe 29 chỗ</t>
  </si>
  <si>
    <t>Nhập ghi chú</t>
  </si>
  <si>
    <t>❌</t>
  </si>
  <si>
    <t>NCC B</t>
  </si>
  <si>
    <t>NCC C</t>
  </si>
  <si>
    <t>Nhập đơn giá</t>
  </si>
  <si>
    <t>Vé máy bay từ Hà Nội đến Đà Nẵng</t>
  </si>
  <si>
    <t>Đối tượng</t>
  </si>
  <si>
    <t>Đại lý bán vé máy bay A</t>
  </si>
  <si>
    <t>Người lớn</t>
  </si>
  <si>
    <t>Trẻ em</t>
  </si>
  <si>
    <t>Trẻ sơ sinh</t>
  </si>
  <si>
    <t xml:space="preserve">Hãng Vietnam Airline </t>
  </si>
  <si>
    <t>II. Khách sạn</t>
  </si>
  <si>
    <t>*Thông tin lưu trú</t>
  </si>
  <si>
    <t>Popup Chia các đêm</t>
  </si>
  <si>
    <t>Tiêu chuẩn lưu trú:</t>
  </si>
  <si>
    <t>3 sao</t>
  </si>
  <si>
    <t>Thiết lập lưu trú</t>
  </si>
  <si>
    <t>Chia bằng cách kéo cái thanh giữa các đêm di chuyển</t>
  </si>
  <si>
    <t>1 khách sạn xuyên suốt</t>
  </si>
  <si>
    <t>Ấn thêm nhóm thì thêm 1 thanh vào giữa các đêm</t>
  </si>
  <si>
    <t>Mỗi đêm 1 khách sạn</t>
  </si>
  <si>
    <t>Khác</t>
  </si>
  <si>
    <t>*Dự toán chi phí</t>
  </si>
  <si>
    <t>Địa chỉ</t>
  </si>
  <si>
    <t>Đơn giá</t>
  </si>
  <si>
    <t>Thao tác</t>
  </si>
  <si>
    <t>Lưu trú - Đêm 1, Đêm 2</t>
  </si>
  <si>
    <t>Tỉnh Thành:</t>
  </si>
  <si>
    <t>Đà Nẵng</t>
  </si>
  <si>
    <t>Thành tiền:</t>
  </si>
  <si>
    <t>Khách sạn A</t>
  </si>
  <si>
    <t>xx đường A, phường B,...</t>
  </si>
  <si>
    <t>Phòng đơn</t>
  </si>
  <si>
    <t>Phòng đôi</t>
  </si>
  <si>
    <t>Phòng ba</t>
  </si>
  <si>
    <t>Khách sạn B</t>
  </si>
  <si>
    <t>xx phố C, phường D,...</t>
  </si>
  <si>
    <t>Khách sạn C</t>
  </si>
  <si>
    <t>xx đường E, phường F,...</t>
  </si>
  <si>
    <t>Lưu trú - Đêm 3</t>
  </si>
  <si>
    <t>Chọn Tỉnh Thành</t>
  </si>
  <si>
    <t>III. Chi phí ăn</t>
  </si>
  <si>
    <t>Tên dịch vụ</t>
  </si>
  <si>
    <t>Dịch vụ chính</t>
  </si>
  <si>
    <t>Ngày 1 - Bữa trưa</t>
  </si>
  <si>
    <t>Đơn giá áp dụng:</t>
  </si>
  <si>
    <t>Thêm mới DV➕</t>
  </si>
  <si>
    <t>Set 1</t>
  </si>
  <si>
    <t>Set 3</t>
  </si>
  <si>
    <t>xx phố G, phường H,...</t>
  </si>
  <si>
    <t>Set 4</t>
  </si>
  <si>
    <t>NCC D</t>
  </si>
  <si>
    <t>Set 5</t>
  </si>
  <si>
    <t>Ngày 1 - Bữa tối</t>
  </si>
  <si>
    <t>NCC E</t>
  </si>
  <si>
    <t>xx phố I, phường J,...</t>
  </si>
  <si>
    <t>Set 6</t>
  </si>
  <si>
    <t>NCC F</t>
  </si>
  <si>
    <t>xx phố K, phường L,...</t>
  </si>
  <si>
    <t>Set 7</t>
  </si>
  <si>
    <t>Ngày 2 - Bữa sáng</t>
  </si>
  <si>
    <t>Ngày 2 - Bữa trưa</t>
  </si>
  <si>
    <t>Ngày 2 - Bữa tối</t>
  </si>
  <si>
    <t>Ngày 3 - Bữa sáng</t>
  </si>
  <si>
    <t>Ngày 3 - Bữa trưa</t>
  </si>
  <si>
    <t>IV. Vé thắng cảnh</t>
  </si>
  <si>
    <t>Đơn giá người lớn</t>
  </si>
  <si>
    <t>Đơn giá trẻ em</t>
  </si>
  <si>
    <t>Ngày 1</t>
  </si>
  <si>
    <t>Địa chỉ 1</t>
  </si>
  <si>
    <t>Vé tham quan Sunworld</t>
  </si>
  <si>
    <t>xxxxxxxx</t>
  </si>
  <si>
    <t>xxxxxxx</t>
  </si>
  <si>
    <t>Địa chỉ 2</t>
  </si>
  <si>
    <t>Vé tham quan Bà Nà Hill</t>
  </si>
  <si>
    <t>Ngày 2</t>
  </si>
  <si>
    <t>Địa chỉ 4</t>
  </si>
  <si>
    <t>Vé tham quan ....</t>
  </si>
  <si>
    <t>Địa chỉ 5</t>
  </si>
  <si>
    <t>Ngày 3</t>
  </si>
  <si>
    <t>V. Hướng dẫn viên</t>
  </si>
  <si>
    <t>Đơn giá:</t>
  </si>
  <si>
    <t>VI. Chi phí khác</t>
  </si>
  <si>
    <t>Đơn vị</t>
  </si>
  <si>
    <t>Bảo hiểm du lịch</t>
  </si>
  <si>
    <t>Người</t>
  </si>
  <si>
    <t>Chai nước</t>
  </si>
  <si>
    <t>Chai</t>
  </si>
  <si>
    <t>Tính toán dự kiến</t>
  </si>
  <si>
    <t>Giá bán dự kiến (Người lớn)</t>
  </si>
  <si>
    <t>xxxxxx            ✏️</t>
  </si>
  <si>
    <t>Giá net</t>
  </si>
  <si>
    <t xml:space="preserve">xxxxxx          </t>
  </si>
  <si>
    <t>Tỷ lệ lợi nhuận thực tế</t>
  </si>
  <si>
    <t>xx%</t>
  </si>
  <si>
    <t>Giá trẻ em</t>
  </si>
  <si>
    <t>Giá trẻ sơ sinh</t>
  </si>
  <si>
    <t>xxxx                ✏️</t>
  </si>
  <si>
    <t>Phụ phí phòng đơn</t>
  </si>
  <si>
    <t>xxxxxx                ✏️</t>
  </si>
  <si>
    <t>Tổng thu</t>
  </si>
  <si>
    <t>STT</t>
  </si>
  <si>
    <t>Khoản mục</t>
  </si>
  <si>
    <t>Số lượng</t>
  </si>
  <si>
    <t>Thành tiền</t>
  </si>
  <si>
    <t>Tour người lớn</t>
  </si>
  <si>
    <t>Tour trẻ em</t>
  </si>
  <si>
    <t>Phụ thu phòng đơn</t>
  </si>
  <si>
    <t xml:space="preserve">Tổng thu </t>
  </si>
  <si>
    <t>xxxxxxxxx</t>
  </si>
  <si>
    <t>Lợi nhuận dự kiến</t>
  </si>
  <si>
    <t>Tỷ lệ lợi nhuận dự kiến</t>
  </si>
  <si>
    <t>Các khoản chi (dự kiến)</t>
  </si>
  <si>
    <t>Đêm/Lượt/Bữa</t>
  </si>
  <si>
    <t>A</t>
  </si>
  <si>
    <t>Vận chuyển</t>
  </si>
  <si>
    <t>Xe</t>
  </si>
  <si>
    <t>-</t>
  </si>
  <si>
    <t>🔽</t>
  </si>
  <si>
    <t>Bảng giá</t>
  </si>
  <si>
    <t>Sử dụng</t>
  </si>
  <si>
    <t>Không có</t>
  </si>
  <si>
    <t>📝</t>
  </si>
  <si>
    <t>Vé máy bay</t>
  </si>
  <si>
    <t>B</t>
  </si>
  <si>
    <t>Khách sạn</t>
  </si>
  <si>
    <t>Phòng ba - Đêm 1, Đêm 2</t>
  </si>
  <si>
    <t>Phòng</t>
  </si>
  <si>
    <t>Phòng đôi - Đêm 1, Đêm 2</t>
  </si>
  <si>
    <t>Phòng đơn - Đêm 1, Đêm 2</t>
  </si>
  <si>
    <t>Phòng ba - Đêm 3</t>
  </si>
  <si>
    <t>🔼</t>
  </si>
  <si>
    <t>Phòng đôi - Đêm 3</t>
  </si>
  <si>
    <t>Phòng đơn - Đêm 3</t>
  </si>
  <si>
    <t>C</t>
  </si>
  <si>
    <t>Chi phí ăn</t>
  </si>
  <si>
    <t>Tất cả</t>
  </si>
  <si>
    <t>Nhà hàng A</t>
  </si>
  <si>
    <t>Set 2</t>
  </si>
  <si>
    <t>Nhà hàng B</t>
  </si>
  <si>
    <t>Nhà hàng C</t>
  </si>
  <si>
    <t>Nhà hàng D</t>
  </si>
  <si>
    <t>D</t>
  </si>
  <si>
    <t>Vé thắng cảnh</t>
  </si>
  <si>
    <t>Ngày 1 - Vé tham quan Sunworld</t>
  </si>
  <si>
    <t>Ngày 1 - Vé tham quan Bà Nà Hill</t>
  </si>
  <si>
    <t>Ngày 2 - Vé tham quan ....</t>
  </si>
  <si>
    <t>Ngày 3 - Vé tham quan ....</t>
  </si>
  <si>
    <t>Ngày 4 - Vé tham quan ....</t>
  </si>
  <si>
    <t>E</t>
  </si>
  <si>
    <t>Hướng dẫn viên</t>
  </si>
  <si>
    <t>F</t>
  </si>
  <si>
    <t>Chi phí khác</t>
  </si>
  <si>
    <t>H</t>
  </si>
  <si>
    <t>Tổng chi phí dự kiến</t>
  </si>
  <si>
    <t>Dự toán</t>
  </si>
  <si>
    <t>Thực chi</t>
  </si>
  <si>
    <t>Chênh lệch</t>
  </si>
  <si>
    <t>8200000I      ↕️</t>
  </si>
  <si>
    <t>Ghi chú 1</t>
  </si>
  <si>
    <t>Cáp treo Bà Nà Hill</t>
  </si>
  <si>
    <t>Thuyền tre Hội An</t>
  </si>
  <si>
    <t>Khách sạn E</t>
  </si>
  <si>
    <t>Nhà hàng E</t>
  </si>
  <si>
    <t>Nhà hàng I</t>
  </si>
  <si>
    <t>Nhà hàng G</t>
  </si>
  <si>
    <t>Nhà hàng M</t>
  </si>
  <si>
    <t>Nhà hàng K</t>
  </si>
  <si>
    <t>Nhà hàng U</t>
  </si>
  <si>
    <t>Nhà hàng S</t>
  </si>
  <si>
    <t>Ngày 3 - Bữa tối</t>
  </si>
  <si>
    <t>Nhà hàng Z</t>
  </si>
  <si>
    <t>Ngày 4 - Bữa sáng</t>
  </si>
  <si>
    <t>Nhà hàng T</t>
  </si>
  <si>
    <t>Ngày 4 - Bữa trưa</t>
  </si>
  <si>
    <t>NCC U</t>
  </si>
  <si>
    <t>NCC G</t>
  </si>
  <si>
    <t>NCC R</t>
  </si>
  <si>
    <t>NCC P</t>
  </si>
  <si>
    <t>NCC W</t>
  </si>
  <si>
    <t xml:space="preserve">Tên HDV </t>
  </si>
  <si>
    <t>NCC V</t>
  </si>
  <si>
    <t>Tổng kết</t>
  </si>
  <si>
    <t>xxxxxx</t>
  </si>
  <si>
    <t>Sinh từ ngày:</t>
  </si>
  <si>
    <t>dd/mm/yyyy</t>
  </si>
  <si>
    <t>đến ngày:</t>
  </si>
  <si>
    <t>Chương trình tour</t>
  </si>
  <si>
    <t>Loại tour</t>
  </si>
  <si>
    <t>Ngày khởi hành xa nhất</t>
  </si>
  <si>
    <t>Độ bao phủ đã tính</t>
  </si>
  <si>
    <t>Độ phủ khả dụng</t>
  </si>
  <si>
    <t>Độ bao phủ tối thiểu</t>
  </si>
  <si>
    <t>Trạng thái</t>
  </si>
  <si>
    <t>Preview</t>
  </si>
  <si>
    <t>Tên chương trình A</t>
  </si>
  <si>
    <t>Quanh năm</t>
  </si>
  <si>
    <t>30/05/2026</t>
  </si>
  <si>
    <t>1.5 tháng</t>
  </si>
  <si>
    <t>3 tháng</t>
  </si>
  <si>
    <t>Cảnh báo</t>
  </si>
  <si>
    <t>Tạo tour</t>
  </si>
  <si>
    <t>Mã tour</t>
  </si>
  <si>
    <t>Ngày khởi hành</t>
  </si>
  <si>
    <t>Ngày kết thúc</t>
  </si>
  <si>
    <t>Loại ngày</t>
  </si>
  <si>
    <t>Số khách dự kiến</t>
  </si>
  <si>
    <t>Giá vốn</t>
  </si>
  <si>
    <t>Giá bán</t>
  </si>
  <si>
    <t>Lợi nhuận</t>
  </si>
  <si>
    <t>Hạn đặt tour</t>
  </si>
  <si>
    <t>Cùng thời điểm</t>
  </si>
  <si>
    <t>Tạo</t>
  </si>
  <si>
    <t>Tên chương trình C</t>
  </si>
  <si>
    <t>Mùa lễ</t>
  </si>
  <si>
    <t>T00x</t>
  </si>
  <si>
    <t xml:space="preserve">dd/mm/yyyy </t>
  </si>
  <si>
    <t>Ngày thường</t>
  </si>
  <si>
    <t>xx</t>
  </si>
  <si>
    <t>x tour chờ duyệt
x tour mở bán</t>
  </si>
  <si>
    <t>Tên chương trình E</t>
  </si>
  <si>
    <t>x.x tháng</t>
  </si>
  <si>
    <t>y tháng</t>
  </si>
  <si>
    <t>z tháng</t>
  </si>
  <si>
    <t>x tour mở bán</t>
  </si>
  <si>
    <t>Tên chương trình D</t>
  </si>
  <si>
    <t>29/07/2026</t>
  </si>
  <si>
    <t>2.5 tháng</t>
  </si>
  <si>
    <t>2 tháng</t>
  </si>
  <si>
    <t>Đạt</t>
  </si>
  <si>
    <t>Giỗ tổ</t>
  </si>
  <si>
    <t xml:space="preserve">x tour chờ duyệt </t>
  </si>
  <si>
    <t>Tên chương trình B</t>
  </si>
  <si>
    <t>Lễ 30/04 - 1/5</t>
  </si>
  <si>
    <t>0 tour trùng thời gian</t>
  </si>
  <si>
    <t>Đã chọn: 4 tour</t>
  </si>
  <si>
    <t>Chưa chọn: 2 tour</t>
  </si>
  <si>
    <t>Tên chương trình:</t>
  </si>
  <si>
    <t>Loại tour:</t>
  </si>
  <si>
    <t>Điểm khởi hành:</t>
  </si>
  <si>
    <t>Hà Nội</t>
  </si>
  <si>
    <t>Hủy</t>
  </si>
  <si>
    <t>Gửi duyệt</t>
  </si>
  <si>
    <t>Điểm tham quan:</t>
  </si>
  <si>
    <t>Đà Nẵng, Huế</t>
  </si>
  <si>
    <t>Thời lượng tour:</t>
  </si>
  <si>
    <t>x ngày y đêm</t>
  </si>
  <si>
    <t>Người tạo chương trình: Nguyễn Văn A</t>
  </si>
  <si>
    <t>Giá vốn/người lớn</t>
  </si>
  <si>
    <t>Tên chương trình tour - Người tạo chương trình (Số tour cần duyệt)</t>
  </si>
  <si>
    <t>Duyệt</t>
  </si>
  <si>
    <t>Yêu cầu sửa</t>
  </si>
  <si>
    <t>Từ chối</t>
  </si>
  <si>
    <t>Ngày</t>
  </si>
  <si>
    <t>Mã yêu cầu - Tên chương trình tour - Ngày tạo yêu cầu - Người tạo chương trình                                                                                                      🔽</t>
  </si>
  <si>
    <t>Tên chương trình tour - Người tạo chương trình                                                                                                                                                            🔽</t>
  </si>
  <si>
    <t>Tên chương trình tour - Người tạo chương trình (Số tour chờ duyệt)</t>
  </si>
  <si>
    <t>📌</t>
  </si>
  <si>
    <t>Loại phương tiện</t>
  </si>
  <si>
    <t xml:space="preserve">Mô tả </t>
  </si>
  <si>
    <t>Đơn giá (hiện tại)</t>
  </si>
  <si>
    <t>Popup chỉnh sửa giá</t>
  </si>
  <si>
    <t>Ngày đặc biệt</t>
  </si>
  <si>
    <t>Dịch vụ:</t>
  </si>
  <si>
    <t>Nhà cung cấp:</t>
  </si>
  <si>
    <t>Tên nhà cung cấp</t>
  </si>
  <si>
    <t>Họ và tên</t>
  </si>
  <si>
    <t>Giới tính</t>
  </si>
  <si>
    <t>Ngày sinh</t>
  </si>
  <si>
    <t>CCCD</t>
  </si>
  <si>
    <t xml:space="preserve">Ngày </t>
  </si>
  <si>
    <t>Dịp</t>
  </si>
  <si>
    <t>Dùng giá mặc định</t>
  </si>
  <si>
    <t>Giá người lớn</t>
  </si>
  <si>
    <t>Thông tin giá đang áp dụng</t>
  </si>
  <si>
    <t>Nhóm khách [mã nhóm khách] - Mã đơn [mã đơn hàng]</t>
  </si>
  <si>
    <t>25/04</t>
  </si>
  <si>
    <t xml:space="preserve">Giỗ Tổ </t>
  </si>
  <si>
    <t>Giá đang áp dụng:</t>
  </si>
  <si>
    <t>Phạm Đình Minh</t>
  </si>
  <si>
    <t>Nam</t>
  </si>
  <si>
    <t>013941231049</t>
  </si>
  <si>
    <t>29/04, 30/04, 1/5                  ↕️</t>
  </si>
  <si>
    <t>30/04 - 1/5</t>
  </si>
  <si>
    <t>Nhập....</t>
  </si>
  <si>
    <t>Ngày hiệu lực:</t>
  </si>
  <si>
    <t>Ngày hết hiệu lực:</t>
  </si>
  <si>
    <t>Thông tin cập nhật</t>
  </si>
  <si>
    <t>Đơn giá mới:</t>
  </si>
  <si>
    <t>Lý do:</t>
  </si>
  <si>
    <t>Nhập lý do</t>
  </si>
  <si>
    <t>Hình thức giá</t>
  </si>
  <si>
    <t xml:space="preserve">Từ ngày </t>
  </si>
  <si>
    <t>Đến ngày</t>
  </si>
  <si>
    <t>NCC cập nhật giá</t>
  </si>
  <si>
    <t>Đồng hành suốt</t>
  </si>
  <si>
    <t>Lý do</t>
  </si>
  <si>
    <t>Deal được giá tốt</t>
  </si>
  <si>
    <t>Thuyền</t>
  </si>
  <si>
    <t>Mô tả ....</t>
  </si>
  <si>
    <t>Niêm yết</t>
  </si>
  <si>
    <t>1 bảng giá🔽</t>
  </si>
  <si>
    <t>Giá theo chương trình khuyến mãi</t>
  </si>
  <si>
    <t>Khác:</t>
  </si>
  <si>
    <t>Từ ngày</t>
  </si>
  <si>
    <t>Người tạo</t>
  </si>
  <si>
    <t>Tên điều phối</t>
  </si>
  <si>
    <t>Thuyền thúng Bến Tre</t>
  </si>
  <si>
    <t>Cập nhật vào bảng giá hệ thống</t>
  </si>
  <si>
    <t>2 bảng giá🔼</t>
  </si>
  <si>
    <t>Cano tham quan</t>
  </si>
  <si>
    <t>🗓️</t>
  </si>
  <si>
    <t>Cano</t>
  </si>
  <si>
    <t>3 bảng giá🔼</t>
  </si>
  <si>
    <t>Lưu</t>
  </si>
  <si>
    <t>Giá đang áp dụng</t>
  </si>
  <si>
    <t>Ngày hiệu lực</t>
  </si>
  <si>
    <t>Ngày hết hiệu lực</t>
  </si>
  <si>
    <t>Nguyễn Văn A</t>
  </si>
  <si>
    <t>Nguyễn Đỗ B</t>
  </si>
  <si>
    <t>Nguyễn Vũ C</t>
  </si>
  <si>
    <t>NCC/dịch vụ dự phòng</t>
  </si>
  <si>
    <t>Tham chiếu</t>
  </si>
  <si>
    <t>Chọn NCC</t>
  </si>
  <si>
    <t>Nhập các NCC dự phòng (nếu có)</t>
  </si>
  <si>
    <t>Phương tiện</t>
  </si>
  <si>
    <t>Lưu trú</t>
  </si>
  <si>
    <t>Autofill giá khi nhập NCC</t>
  </si>
  <si>
    <t>Autofill theo số đêm được chọn</t>
  </si>
  <si>
    <t>Autofill các đêm</t>
  </si>
  <si>
    <t>Chọn dịch vụ</t>
  </si>
  <si>
    <t>Autofill NCC khi nhập dịch vụ</t>
  </si>
  <si>
    <t>Autofill giá khi nhập dịch vụ</t>
  </si>
  <si>
    <t>Autofill theo số bữa được chọn</t>
  </si>
  <si>
    <t>Nhập các dịch vụ dự phòng (nếu có)</t>
  </si>
  <si>
    <t>Autofill các bữa</t>
  </si>
  <si>
    <t>IV. Vé tham quan giải trí</t>
  </si>
  <si>
    <t>Autofill từ danh sách dịch vụ chọn bên lịch trình</t>
  </si>
  <si>
    <t>Autofill theo dịch vụ</t>
  </si>
  <si>
    <t>Bỏ trống</t>
  </si>
  <si>
    <t>Autofill các ngày</t>
  </si>
  <si>
    <t>📝❌</t>
  </si>
  <si>
    <t>Số lượng khách tối thiểu</t>
  </si>
  <si>
    <t>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</si>
</sst>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B7B7B7"/>
      <name val="Arial"/>
      <scheme val="minor"/>
    </font>
    <font>
      <color rgb="FF000000"/>
      <name val="Arial"/>
      <scheme val="minor"/>
    </font>
    <font>
      <color rgb="FF999999"/>
      <name val="Arial"/>
      <scheme val="minor"/>
    </font>
    <font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readingOrder="0"/>
    </xf>
    <xf borderId="2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Border="1" applyFill="1" applyFont="1"/>
    <xf borderId="1" fillId="3" fontId="1" numFmtId="0" xfId="0" applyBorder="1" applyFill="1" applyFont="1"/>
    <xf borderId="1" fillId="0" fontId="3" numFmtId="0" xfId="0" applyAlignment="1" applyBorder="1" applyFont="1">
      <alignment readingOrder="0"/>
    </xf>
    <xf borderId="0" fillId="0" fontId="1" numFmtId="0" xfId="0" applyAlignment="1" applyFont="1">
      <alignment readingOrder="0" shrinkToFit="0" wrapText="0"/>
    </xf>
    <xf borderId="2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1" numFmtId="0" xfId="0" applyFont="1"/>
    <xf borderId="0" fillId="0" fontId="4" numFmtId="0" xfId="0" applyAlignment="1" applyFont="1">
      <alignment horizontal="center" readingOrder="0"/>
    </xf>
    <xf borderId="0" fillId="3" fontId="4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horizontal="left" readingOrder="0"/>
    </xf>
    <xf borderId="0" fillId="4" fontId="5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5" fontId="3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1" numFmtId="0" xfId="0" applyFont="1"/>
    <xf borderId="0" fillId="6" fontId="1" numFmtId="0" xfId="0" applyAlignment="1" applyFont="1">
      <alignment readingOrder="0"/>
    </xf>
    <xf borderId="0" fillId="0" fontId="2" numFmtId="0" xfId="0" applyFont="1"/>
    <xf borderId="0" fillId="5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3" fontId="6" numFmtId="0" xfId="0" applyAlignment="1" applyFont="1">
      <alignment shrinkToFit="0" vertical="bottom" wrapText="1"/>
    </xf>
    <xf borderId="0" fillId="3" fontId="6" numFmtId="0" xfId="0" applyAlignment="1" applyFont="1">
      <alignment horizontal="right" readingOrder="0" vertical="bottom"/>
    </xf>
    <xf borderId="0" fillId="3" fontId="6" numFmtId="0" xfId="0" applyAlignment="1" applyFont="1">
      <alignment horizontal="center" readingOrder="0"/>
    </xf>
    <xf borderId="0" fillId="3" fontId="6" numFmtId="0" xfId="0" applyAlignment="1" applyFont="1">
      <alignment horizontal="right" vertical="bottom"/>
    </xf>
    <xf borderId="0" fillId="3" fontId="6" numFmtId="0" xfId="0" applyAlignment="1" applyFont="1">
      <alignment horizontal="right" vertical="bottom"/>
    </xf>
    <xf borderId="0" fillId="3" fontId="6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horizontal="right" vertical="bottom"/>
    </xf>
    <xf borderId="0" fillId="2" fontId="1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2" fontId="6" numFmtId="0" xfId="0" applyAlignment="1" applyFont="1">
      <alignment vertical="bottom"/>
    </xf>
    <xf borderId="6" fillId="0" fontId="4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0" fillId="2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6" fontId="1" numFmtId="0" xfId="0" applyFont="1"/>
    <xf borderId="0" fillId="6" fontId="4" numFmtId="0" xfId="0" applyAlignment="1" applyFont="1">
      <alignment horizontal="left" readingOrder="0"/>
    </xf>
    <xf borderId="0" fillId="6" fontId="1" numFmtId="0" xfId="0" applyAlignment="1" applyFont="1">
      <alignment horizontal="center"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8" fillId="0" fontId="7" numFmtId="0" xfId="0" applyBorder="1" applyFont="1"/>
    <xf borderId="9" fillId="0" fontId="7" numFmtId="0" xfId="0" applyBorder="1" applyFont="1"/>
    <xf quotePrefix="1" borderId="6" fillId="0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/>
    </xf>
    <xf borderId="6" fillId="4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6" fillId="5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readingOrder="0"/>
    </xf>
    <xf quotePrefix="1" borderId="0" fillId="0" fontId="1" numFmtId="0" xfId="0" applyAlignment="1" applyFont="1">
      <alignment readingOrder="0"/>
    </xf>
    <xf borderId="6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 readingOrder="0"/>
    </xf>
    <xf borderId="1" fillId="7" fontId="1" numFmtId="0" xfId="0" applyBorder="1" applyFill="1" applyFont="1"/>
    <xf borderId="2" fillId="0" fontId="7" numFmtId="0" xfId="0" applyBorder="1" applyFont="1"/>
    <xf borderId="1" fillId="0" fontId="1" numFmtId="0" xfId="0" applyBorder="1" applyFont="1"/>
    <xf borderId="2" fillId="0" fontId="1" numFmtId="0" xfId="0" applyAlignment="1" applyBorder="1" applyFont="1">
      <alignment horizontal="right" readingOrder="0"/>
    </xf>
    <xf borderId="3" fillId="0" fontId="1" numFmtId="0" xfId="0" applyBorder="1" applyFont="1"/>
    <xf borderId="4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10" fillId="0" fontId="1" numFmtId="0" xfId="0" applyAlignment="1" applyBorder="1" applyFont="1">
      <alignment readingOrder="0"/>
    </xf>
    <xf borderId="11" fillId="0" fontId="7" numFmtId="0" xfId="0" applyBorder="1" applyFont="1"/>
    <xf borderId="12" fillId="0" fontId="7" numFmtId="0" xfId="0" applyBorder="1" applyFont="1"/>
    <xf borderId="13" fillId="0" fontId="1" numFmtId="0" xfId="0" applyAlignment="1" applyBorder="1" applyFont="1">
      <alignment readingOrder="0"/>
    </xf>
    <xf borderId="14" fillId="0" fontId="7" numFmtId="0" xfId="0" applyBorder="1" applyFont="1"/>
    <xf borderId="15" fillId="0" fontId="1" numFmtId="0" xfId="0" applyAlignment="1" applyBorder="1" applyFont="1">
      <alignment readingOrder="0"/>
    </xf>
    <xf borderId="4" fillId="0" fontId="7" numFmtId="0" xfId="0" applyBorder="1" applyFont="1"/>
    <xf borderId="5" fillId="0" fontId="7" numFmtId="0" xfId="0" applyBorder="1" applyFont="1"/>
    <xf borderId="3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0"/>
    </xf>
    <xf borderId="4" fillId="0" fontId="1" numFmtId="0" xfId="0" applyAlignment="1" applyBorder="1" applyFont="1">
      <alignment horizont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27</xdr:row>
      <xdr:rowOff>209550</xdr:rowOff>
    </xdr:from>
    <xdr:ext cx="1962150" cy="97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4.38"/>
    <col customWidth="1" min="3" max="3" width="14.38"/>
    <col customWidth="1" min="4" max="4" width="19.25"/>
    <col customWidth="1" min="5" max="5" width="14.13"/>
    <col customWidth="1" min="6" max="6" width="18.0"/>
    <col customWidth="1" min="7" max="7" width="15.13"/>
    <col customWidth="1" min="8" max="8" width="15.25"/>
    <col customWidth="1" min="13" max="13" width="14.63"/>
  </cols>
  <sheetData>
    <row r="1">
      <c r="D1" s="1"/>
      <c r="H1" s="2" t="s">
        <v>0</v>
      </c>
      <c r="M1" s="3"/>
    </row>
    <row r="2">
      <c r="D2" s="1"/>
      <c r="H2" s="4" t="s">
        <v>1</v>
      </c>
      <c r="I2" s="5" t="s">
        <v>2</v>
      </c>
      <c r="M2" s="3"/>
    </row>
    <row r="3">
      <c r="D3" s="1"/>
      <c r="H3" s="6"/>
      <c r="I3" s="5" t="s">
        <v>3</v>
      </c>
      <c r="M3" s="3"/>
    </row>
    <row r="4">
      <c r="D4" s="1"/>
      <c r="H4" s="7"/>
      <c r="I4" s="5" t="s">
        <v>4</v>
      </c>
      <c r="M4" s="3"/>
    </row>
    <row r="5">
      <c r="D5" s="1"/>
      <c r="H5" s="8" t="s">
        <v>5</v>
      </c>
      <c r="I5" s="9" t="s">
        <v>6</v>
      </c>
      <c r="J5" s="9"/>
      <c r="K5" s="9"/>
      <c r="L5" s="9"/>
      <c r="M5" s="10"/>
    </row>
    <row r="6">
      <c r="D6" s="1"/>
      <c r="H6" s="4" t="s">
        <v>7</v>
      </c>
      <c r="M6" s="3"/>
    </row>
    <row r="7">
      <c r="B7" s="11" t="s">
        <v>8</v>
      </c>
      <c r="D7" s="1"/>
      <c r="H7" s="12" t="s">
        <v>9</v>
      </c>
      <c r="I7" s="13"/>
      <c r="J7" s="13"/>
      <c r="K7" s="13"/>
      <c r="L7" s="13"/>
      <c r="M7" s="14"/>
    </row>
    <row r="8">
      <c r="B8" s="5" t="s">
        <v>10</v>
      </c>
      <c r="C8" s="5">
        <v>25.0</v>
      </c>
      <c r="D8" s="1"/>
      <c r="E8" s="5" t="s">
        <v>11</v>
      </c>
      <c r="G8" s="5">
        <v>10.0</v>
      </c>
    </row>
    <row r="9">
      <c r="B9" s="5" t="s">
        <v>12</v>
      </c>
      <c r="C9" s="5">
        <v>15.0</v>
      </c>
      <c r="D9" s="1"/>
      <c r="E9" s="5" t="s">
        <v>13</v>
      </c>
      <c r="G9" s="5">
        <v>15.0</v>
      </c>
    </row>
    <row r="10">
      <c r="D10" s="1"/>
    </row>
    <row r="11">
      <c r="B11" s="11" t="s">
        <v>14</v>
      </c>
      <c r="D11" s="1"/>
    </row>
    <row r="12">
      <c r="B12" s="5" t="s">
        <v>15</v>
      </c>
    </row>
    <row r="13">
      <c r="B13" s="5" t="s">
        <v>16</v>
      </c>
      <c r="F13" s="5" t="s">
        <v>17</v>
      </c>
      <c r="G13" s="15">
        <v>8500000.0</v>
      </c>
    </row>
    <row r="14">
      <c r="B14" s="16" t="s">
        <v>18</v>
      </c>
      <c r="C14" s="17" t="s">
        <v>19</v>
      </c>
      <c r="D14" s="16" t="s">
        <v>20</v>
      </c>
      <c r="E14" s="16" t="s">
        <v>0</v>
      </c>
      <c r="F14" s="16" t="s">
        <v>21</v>
      </c>
      <c r="G14" s="18" t="s">
        <v>22</v>
      </c>
    </row>
    <row r="15">
      <c r="B15" s="16" t="s">
        <v>23</v>
      </c>
      <c r="C15" s="17" t="s">
        <v>24</v>
      </c>
      <c r="D15" s="16">
        <v>8500000.0</v>
      </c>
      <c r="E15" s="19" t="s">
        <v>25</v>
      </c>
      <c r="F15" s="16" t="b">
        <v>1</v>
      </c>
      <c r="G15" s="16" t="s">
        <v>26</v>
      </c>
    </row>
    <row r="16">
      <c r="B16" s="16" t="s">
        <v>27</v>
      </c>
      <c r="C16" s="17" t="s">
        <v>24</v>
      </c>
      <c r="D16" s="16">
        <v>7200000.0</v>
      </c>
      <c r="E16" s="19" t="s">
        <v>25</v>
      </c>
      <c r="F16" s="16" t="b">
        <v>0</v>
      </c>
      <c r="G16" s="16" t="s">
        <v>26</v>
      </c>
    </row>
    <row r="17">
      <c r="B17" s="16" t="s">
        <v>28</v>
      </c>
      <c r="C17" s="17" t="s">
        <v>24</v>
      </c>
      <c r="D17" s="19" t="s">
        <v>29</v>
      </c>
      <c r="E17" s="19" t="s">
        <v>25</v>
      </c>
      <c r="F17" s="20" t="b">
        <v>0</v>
      </c>
      <c r="G17" s="16" t="s">
        <v>26</v>
      </c>
    </row>
    <row r="18">
      <c r="B18" s="5" t="s">
        <v>30</v>
      </c>
      <c r="F18" s="5" t="s">
        <v>17</v>
      </c>
      <c r="G18" s="21">
        <v>4400000.0</v>
      </c>
    </row>
    <row r="19">
      <c r="B19" s="16" t="s">
        <v>18</v>
      </c>
      <c r="C19" s="17" t="s">
        <v>31</v>
      </c>
      <c r="D19" s="16" t="s">
        <v>20</v>
      </c>
      <c r="E19" s="16" t="s">
        <v>0</v>
      </c>
      <c r="F19" s="16" t="s">
        <v>21</v>
      </c>
      <c r="G19" s="18" t="s">
        <v>22</v>
      </c>
    </row>
    <row r="20">
      <c r="B20" s="22" t="s">
        <v>32</v>
      </c>
      <c r="C20" s="17" t="s">
        <v>33</v>
      </c>
      <c r="D20" s="22">
        <v>4400000.0</v>
      </c>
      <c r="E20" s="19" t="s">
        <v>25</v>
      </c>
      <c r="F20" s="16" t="b">
        <v>1</v>
      </c>
      <c r="G20" s="19" t="s">
        <v>26</v>
      </c>
    </row>
    <row r="21">
      <c r="C21" s="17" t="s">
        <v>34</v>
      </c>
      <c r="D21" s="22">
        <v>4200000.0</v>
      </c>
    </row>
    <row r="22">
      <c r="C22" s="16" t="s">
        <v>35</v>
      </c>
      <c r="D22" s="16">
        <v>440000.0</v>
      </c>
    </row>
    <row r="23">
      <c r="B23" s="22" t="s">
        <v>36</v>
      </c>
      <c r="C23" s="17" t="s">
        <v>33</v>
      </c>
      <c r="D23" s="19" t="s">
        <v>29</v>
      </c>
      <c r="E23" s="19" t="s">
        <v>25</v>
      </c>
      <c r="F23" s="16" t="b">
        <v>0</v>
      </c>
      <c r="G23" s="19" t="s">
        <v>26</v>
      </c>
    </row>
    <row r="24">
      <c r="C24" s="17" t="s">
        <v>34</v>
      </c>
      <c r="D24" s="19" t="s">
        <v>29</v>
      </c>
    </row>
    <row r="25">
      <c r="C25" s="17" t="s">
        <v>35</v>
      </c>
      <c r="D25" s="19" t="s">
        <v>29</v>
      </c>
    </row>
    <row r="26">
      <c r="B26" s="5"/>
      <c r="D26" s="1"/>
    </row>
    <row r="27">
      <c r="B27" s="5" t="s">
        <v>37</v>
      </c>
      <c r="D27" s="1"/>
    </row>
    <row r="28">
      <c r="B28" s="5" t="s">
        <v>38</v>
      </c>
      <c r="D28" s="23" t="s">
        <v>39</v>
      </c>
    </row>
    <row r="29">
      <c r="B29" s="5" t="s">
        <v>40</v>
      </c>
      <c r="C29" s="5" t="s">
        <v>41</v>
      </c>
      <c r="D29" s="1"/>
    </row>
    <row r="30">
      <c r="B30" s="5" t="s">
        <v>42</v>
      </c>
      <c r="D30" s="1"/>
      <c r="F30" s="5" t="s">
        <v>43</v>
      </c>
    </row>
    <row r="31">
      <c r="A31" s="24" t="b">
        <v>0</v>
      </c>
      <c r="B31" s="5" t="s">
        <v>44</v>
      </c>
      <c r="D31" s="1"/>
      <c r="F31" s="5" t="s">
        <v>45</v>
      </c>
    </row>
    <row r="32">
      <c r="A32" s="24" t="b">
        <v>0</v>
      </c>
      <c r="B32" s="5" t="s">
        <v>46</v>
      </c>
      <c r="D32" s="1"/>
    </row>
    <row r="33">
      <c r="A33" s="24" t="b">
        <v>1</v>
      </c>
      <c r="B33" s="5" t="s">
        <v>47</v>
      </c>
      <c r="D33" s="1"/>
    </row>
    <row r="34">
      <c r="B34" s="5" t="s">
        <v>48</v>
      </c>
      <c r="D34" s="1"/>
    </row>
    <row r="35">
      <c r="B35" s="5" t="s">
        <v>18</v>
      </c>
      <c r="C35" s="23" t="s">
        <v>49</v>
      </c>
      <c r="D35" s="5" t="s">
        <v>19</v>
      </c>
      <c r="E35" s="5" t="s">
        <v>50</v>
      </c>
      <c r="F35" s="5" t="s">
        <v>21</v>
      </c>
      <c r="G35" s="5" t="s">
        <v>51</v>
      </c>
    </row>
    <row r="36">
      <c r="B36" s="25" t="s">
        <v>52</v>
      </c>
      <c r="C36" s="26" t="s">
        <v>53</v>
      </c>
      <c r="D36" s="25" t="s">
        <v>54</v>
      </c>
      <c r="E36" s="25" t="s">
        <v>55</v>
      </c>
      <c r="F36" s="27">
        <v>2600000.0</v>
      </c>
      <c r="G36" s="18" t="s">
        <v>22</v>
      </c>
    </row>
    <row r="37">
      <c r="B37" s="22" t="s">
        <v>56</v>
      </c>
      <c r="C37" s="17" t="s">
        <v>57</v>
      </c>
      <c r="D37" s="16" t="s">
        <v>58</v>
      </c>
      <c r="E37" s="16">
        <v>1200000.0</v>
      </c>
      <c r="F37" s="16" t="b">
        <v>1</v>
      </c>
      <c r="G37" s="16" t="s">
        <v>26</v>
      </c>
    </row>
    <row r="38">
      <c r="D38" s="16" t="s">
        <v>59</v>
      </c>
      <c r="E38" s="16">
        <v>1300000.0</v>
      </c>
    </row>
    <row r="39">
      <c r="D39" s="16" t="s">
        <v>60</v>
      </c>
      <c r="E39" s="16">
        <v>1400000.0</v>
      </c>
    </row>
    <row r="40">
      <c r="B40" s="22" t="s">
        <v>61</v>
      </c>
      <c r="C40" s="17" t="s">
        <v>62</v>
      </c>
      <c r="D40" s="16" t="s">
        <v>59</v>
      </c>
      <c r="E40" s="16">
        <v>1400000.0</v>
      </c>
      <c r="F40" s="16" t="b">
        <v>0</v>
      </c>
      <c r="G40" s="16" t="s">
        <v>26</v>
      </c>
    </row>
    <row r="41">
      <c r="B41" s="22" t="s">
        <v>63</v>
      </c>
      <c r="C41" s="17" t="s">
        <v>64</v>
      </c>
      <c r="D41" s="16" t="s">
        <v>58</v>
      </c>
      <c r="E41" s="16">
        <v>1200000.0</v>
      </c>
      <c r="F41" s="16" t="b">
        <v>0</v>
      </c>
      <c r="G41" s="16" t="s">
        <v>26</v>
      </c>
    </row>
    <row r="42">
      <c r="D42" s="16" t="s">
        <v>59</v>
      </c>
      <c r="E42" s="16">
        <v>1400000.0</v>
      </c>
    </row>
    <row r="43">
      <c r="D43" s="16" t="s">
        <v>60</v>
      </c>
      <c r="E43" s="16">
        <v>1600000.0</v>
      </c>
    </row>
    <row r="44">
      <c r="B44" s="25" t="s">
        <v>65</v>
      </c>
      <c r="C44" s="26" t="s">
        <v>53</v>
      </c>
      <c r="D44" s="28" t="s">
        <v>66</v>
      </c>
      <c r="E44" s="25" t="s">
        <v>55</v>
      </c>
      <c r="F44" s="27"/>
      <c r="G44" s="18" t="s">
        <v>22</v>
      </c>
    </row>
    <row r="45">
      <c r="D45" s="1"/>
    </row>
    <row r="46">
      <c r="B46" s="5" t="s">
        <v>67</v>
      </c>
      <c r="D46" s="1"/>
    </row>
    <row r="47">
      <c r="B47" s="5" t="s">
        <v>18</v>
      </c>
      <c r="C47" s="5" t="s">
        <v>49</v>
      </c>
      <c r="D47" s="23" t="s">
        <v>68</v>
      </c>
      <c r="E47" s="5" t="s">
        <v>50</v>
      </c>
      <c r="F47" s="5" t="s">
        <v>69</v>
      </c>
      <c r="G47" s="5" t="s">
        <v>51</v>
      </c>
    </row>
    <row r="48">
      <c r="B48" s="25" t="s">
        <v>70</v>
      </c>
      <c r="C48" s="25"/>
      <c r="D48" s="25"/>
      <c r="E48" s="25" t="s">
        <v>71</v>
      </c>
      <c r="F48" s="27">
        <v>120000.0</v>
      </c>
      <c r="G48" s="18" t="s">
        <v>72</v>
      </c>
    </row>
    <row r="49">
      <c r="B49" s="22" t="s">
        <v>23</v>
      </c>
      <c r="C49" s="17" t="s">
        <v>57</v>
      </c>
      <c r="D49" s="16" t="s">
        <v>73</v>
      </c>
      <c r="E49" s="16">
        <v>120000.0</v>
      </c>
      <c r="F49" s="16" t="b">
        <v>1</v>
      </c>
      <c r="G49" s="16" t="s">
        <v>26</v>
      </c>
    </row>
    <row r="50">
      <c r="B50" s="22" t="s">
        <v>27</v>
      </c>
      <c r="C50" s="17" t="s">
        <v>62</v>
      </c>
      <c r="D50" s="16" t="s">
        <v>74</v>
      </c>
      <c r="E50" s="16">
        <v>140000.0</v>
      </c>
      <c r="F50" s="16"/>
      <c r="G50" s="16" t="s">
        <v>26</v>
      </c>
    </row>
    <row r="51">
      <c r="B51" s="22" t="s">
        <v>28</v>
      </c>
      <c r="C51" s="17" t="s">
        <v>75</v>
      </c>
      <c r="D51" s="16" t="s">
        <v>76</v>
      </c>
      <c r="E51" s="16">
        <v>125000.0</v>
      </c>
      <c r="F51" s="16" t="b">
        <v>0</v>
      </c>
      <c r="G51" s="16" t="s">
        <v>26</v>
      </c>
    </row>
    <row r="52">
      <c r="B52" s="22" t="s">
        <v>77</v>
      </c>
      <c r="C52" s="17" t="s">
        <v>64</v>
      </c>
      <c r="D52" s="16" t="s">
        <v>78</v>
      </c>
      <c r="E52" s="16">
        <v>140000.0</v>
      </c>
      <c r="F52" s="16"/>
      <c r="G52" s="16" t="s">
        <v>26</v>
      </c>
    </row>
    <row r="53">
      <c r="B53" s="25" t="s">
        <v>79</v>
      </c>
      <c r="C53" s="25"/>
      <c r="D53" s="25"/>
      <c r="E53" s="25" t="s">
        <v>71</v>
      </c>
      <c r="F53" s="25"/>
      <c r="G53" s="18" t="s">
        <v>72</v>
      </c>
    </row>
    <row r="54">
      <c r="B54" s="22" t="s">
        <v>80</v>
      </c>
      <c r="C54" s="17" t="s">
        <v>81</v>
      </c>
      <c r="D54" s="16" t="s">
        <v>82</v>
      </c>
      <c r="E54" s="16">
        <v>140000.0</v>
      </c>
      <c r="F54" s="16"/>
      <c r="G54" s="16" t="s">
        <v>26</v>
      </c>
    </row>
    <row r="55">
      <c r="B55" s="22" t="s">
        <v>83</v>
      </c>
      <c r="C55" s="17" t="s">
        <v>84</v>
      </c>
      <c r="D55" s="16" t="s">
        <v>85</v>
      </c>
      <c r="E55" s="16">
        <v>125000.0</v>
      </c>
      <c r="F55" s="16" t="b">
        <v>0</v>
      </c>
      <c r="G55" s="16" t="s">
        <v>26</v>
      </c>
    </row>
    <row r="56">
      <c r="B56" s="25" t="s">
        <v>86</v>
      </c>
      <c r="C56" s="25"/>
      <c r="D56" s="25"/>
      <c r="E56" s="25" t="s">
        <v>71</v>
      </c>
      <c r="F56" s="27"/>
      <c r="G56" s="18" t="s">
        <v>72</v>
      </c>
    </row>
    <row r="57">
      <c r="B57" s="25" t="s">
        <v>87</v>
      </c>
      <c r="C57" s="25"/>
      <c r="D57" s="25"/>
      <c r="E57" s="25" t="s">
        <v>71</v>
      </c>
      <c r="F57" s="25"/>
      <c r="G57" s="18" t="s">
        <v>72</v>
      </c>
    </row>
    <row r="58">
      <c r="B58" s="25" t="s">
        <v>88</v>
      </c>
      <c r="C58" s="25"/>
      <c r="D58" s="25"/>
      <c r="E58" s="25" t="s">
        <v>71</v>
      </c>
      <c r="F58" s="25"/>
      <c r="G58" s="18" t="s">
        <v>72</v>
      </c>
    </row>
    <row r="59">
      <c r="B59" s="25" t="s">
        <v>89</v>
      </c>
      <c r="C59" s="25"/>
      <c r="D59" s="25"/>
      <c r="E59" s="25" t="s">
        <v>71</v>
      </c>
      <c r="F59" s="27"/>
      <c r="G59" s="18" t="s">
        <v>72</v>
      </c>
    </row>
    <row r="60">
      <c r="B60" s="25" t="s">
        <v>90</v>
      </c>
      <c r="C60" s="25"/>
      <c r="D60" s="25"/>
      <c r="E60" s="25" t="s">
        <v>71</v>
      </c>
      <c r="F60" s="25"/>
      <c r="G60" s="18" t="s">
        <v>72</v>
      </c>
    </row>
    <row r="61">
      <c r="D61" s="1"/>
    </row>
    <row r="62">
      <c r="B62" s="5" t="s">
        <v>91</v>
      </c>
      <c r="D62" s="1"/>
    </row>
    <row r="63">
      <c r="B63" s="5" t="s">
        <v>18</v>
      </c>
      <c r="C63" s="5" t="s">
        <v>49</v>
      </c>
      <c r="D63" s="23" t="s">
        <v>68</v>
      </c>
      <c r="E63" s="5" t="s">
        <v>92</v>
      </c>
      <c r="F63" s="5" t="s">
        <v>93</v>
      </c>
      <c r="G63" s="5" t="s">
        <v>51</v>
      </c>
    </row>
    <row r="64">
      <c r="B64" s="25" t="s">
        <v>94</v>
      </c>
      <c r="C64" s="25"/>
      <c r="D64" s="25"/>
      <c r="E64" s="25"/>
      <c r="F64" s="25"/>
      <c r="G64" s="18" t="s">
        <v>72</v>
      </c>
    </row>
    <row r="65">
      <c r="B65" s="5" t="s">
        <v>23</v>
      </c>
      <c r="C65" s="5" t="s">
        <v>95</v>
      </c>
      <c r="D65" s="23" t="s">
        <v>96</v>
      </c>
      <c r="E65" s="5" t="s">
        <v>97</v>
      </c>
      <c r="F65" s="5" t="s">
        <v>98</v>
      </c>
      <c r="G65" s="5" t="s">
        <v>26</v>
      </c>
    </row>
    <row r="66">
      <c r="B66" s="5" t="s">
        <v>27</v>
      </c>
      <c r="C66" s="5" t="s">
        <v>99</v>
      </c>
      <c r="D66" s="23" t="s">
        <v>100</v>
      </c>
      <c r="E66" s="5" t="s">
        <v>97</v>
      </c>
      <c r="F66" s="5" t="s">
        <v>98</v>
      </c>
      <c r="G66" s="5" t="s">
        <v>26</v>
      </c>
    </row>
    <row r="67">
      <c r="B67" s="25" t="s">
        <v>101</v>
      </c>
      <c r="C67" s="25"/>
      <c r="D67" s="25"/>
      <c r="E67" s="25"/>
      <c r="F67" s="25"/>
      <c r="G67" s="18" t="s">
        <v>72</v>
      </c>
    </row>
    <row r="68">
      <c r="B68" s="5" t="s">
        <v>77</v>
      </c>
      <c r="C68" s="5" t="s">
        <v>102</v>
      </c>
      <c r="D68" s="23" t="s">
        <v>103</v>
      </c>
      <c r="E68" s="5" t="s">
        <v>97</v>
      </c>
      <c r="F68" s="5" t="s">
        <v>98</v>
      </c>
      <c r="G68" s="5" t="s">
        <v>26</v>
      </c>
    </row>
    <row r="69">
      <c r="B69" s="5" t="s">
        <v>80</v>
      </c>
      <c r="C69" s="5" t="s">
        <v>104</v>
      </c>
      <c r="D69" s="23" t="s">
        <v>103</v>
      </c>
      <c r="E69" s="5" t="s">
        <v>97</v>
      </c>
      <c r="F69" s="5" t="s">
        <v>98</v>
      </c>
      <c r="G69" s="5" t="s">
        <v>26</v>
      </c>
    </row>
    <row r="70">
      <c r="B70" s="25" t="s">
        <v>105</v>
      </c>
      <c r="C70" s="25"/>
      <c r="D70" s="25"/>
      <c r="E70" s="25"/>
      <c r="F70" s="25"/>
      <c r="G70" s="18" t="s">
        <v>72</v>
      </c>
    </row>
    <row r="71">
      <c r="D71" s="23"/>
    </row>
    <row r="72">
      <c r="B72" s="5" t="s">
        <v>106</v>
      </c>
      <c r="D72" s="5" t="s">
        <v>107</v>
      </c>
      <c r="E72" s="29">
        <v>400000.0</v>
      </c>
    </row>
    <row r="73">
      <c r="E73" s="29"/>
      <c r="G73" s="29"/>
    </row>
    <row r="74">
      <c r="B74" s="5" t="s">
        <v>108</v>
      </c>
      <c r="D74" s="1"/>
    </row>
    <row r="75">
      <c r="B75" s="5" t="s">
        <v>18</v>
      </c>
      <c r="C75" s="5" t="s">
        <v>68</v>
      </c>
      <c r="D75" s="23" t="s">
        <v>50</v>
      </c>
      <c r="E75" s="5" t="s">
        <v>109</v>
      </c>
      <c r="F75" s="5" t="s">
        <v>0</v>
      </c>
      <c r="G75" s="18" t="s">
        <v>72</v>
      </c>
    </row>
    <row r="76">
      <c r="B76" s="5" t="s">
        <v>23</v>
      </c>
      <c r="C76" s="5" t="s">
        <v>110</v>
      </c>
      <c r="D76" s="23">
        <v>2000000.0</v>
      </c>
      <c r="E76" s="5" t="s">
        <v>111</v>
      </c>
      <c r="F76" s="30" t="s">
        <v>25</v>
      </c>
      <c r="G76" s="5" t="s">
        <v>26</v>
      </c>
    </row>
    <row r="77">
      <c r="B77" s="5" t="s">
        <v>27</v>
      </c>
      <c r="C77" s="5" t="s">
        <v>112</v>
      </c>
      <c r="D77" s="23">
        <v>10000.0</v>
      </c>
      <c r="E77" s="5" t="s">
        <v>113</v>
      </c>
      <c r="F77" s="30" t="s">
        <v>25</v>
      </c>
      <c r="G77" s="5" t="s">
        <v>26</v>
      </c>
    </row>
    <row r="78">
      <c r="D78" s="1"/>
    </row>
    <row r="79">
      <c r="B79" s="31" t="s">
        <v>114</v>
      </c>
      <c r="D79" s="1"/>
    </row>
    <row r="80">
      <c r="B80" s="5" t="s">
        <v>115</v>
      </c>
      <c r="C80" s="5" t="s">
        <v>116</v>
      </c>
      <c r="D80" s="23" t="s">
        <v>117</v>
      </c>
      <c r="E80" s="5" t="s">
        <v>118</v>
      </c>
      <c r="F80" s="5" t="s">
        <v>119</v>
      </c>
      <c r="G80" s="5" t="s">
        <v>120</v>
      </c>
    </row>
    <row r="81">
      <c r="B81" s="5" t="s">
        <v>121</v>
      </c>
      <c r="C81" s="5" t="s">
        <v>116</v>
      </c>
      <c r="D81" s="5" t="s">
        <v>122</v>
      </c>
      <c r="E81" s="5" t="s">
        <v>123</v>
      </c>
      <c r="F81" s="5" t="s">
        <v>124</v>
      </c>
      <c r="G81" s="5" t="s">
        <v>125</v>
      </c>
    </row>
    <row r="82">
      <c r="D82" s="1"/>
    </row>
    <row r="83">
      <c r="D83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</sheetData>
  <mergeCells count="21">
    <mergeCell ref="F20:F22"/>
    <mergeCell ref="G20:G22"/>
    <mergeCell ref="F23:F25"/>
    <mergeCell ref="G23:G25"/>
    <mergeCell ref="E8:F8"/>
    <mergeCell ref="E9:F9"/>
    <mergeCell ref="B12:G12"/>
    <mergeCell ref="B13:E13"/>
    <mergeCell ref="B18:E18"/>
    <mergeCell ref="B20:B22"/>
    <mergeCell ref="B23:B25"/>
    <mergeCell ref="F37:F39"/>
    <mergeCell ref="F41:F43"/>
    <mergeCell ref="E20:E22"/>
    <mergeCell ref="E23:E25"/>
    <mergeCell ref="B37:B39"/>
    <mergeCell ref="C37:C39"/>
    <mergeCell ref="G37:G39"/>
    <mergeCell ref="B41:B43"/>
    <mergeCell ref="C41:C43"/>
    <mergeCell ref="G41:G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63"/>
    <col customWidth="1" min="3" max="3" width="21.25"/>
    <col customWidth="1" min="4" max="4" width="14.25"/>
    <col customWidth="1" min="5" max="5" width="9.63"/>
    <col customWidth="1" min="6" max="7" width="13.88"/>
    <col customWidth="1" min="9" max="9" width="13.5"/>
    <col customWidth="1" min="10" max="10" width="8.88"/>
    <col customWidth="1" min="11" max="11" width="7.5"/>
  </cols>
  <sheetData>
    <row r="1">
      <c r="D1" s="1"/>
    </row>
    <row r="2">
      <c r="D2" s="1"/>
    </row>
    <row r="3">
      <c r="D3" s="1"/>
    </row>
    <row r="4">
      <c r="D4" s="1"/>
    </row>
    <row r="5">
      <c r="D5" s="1"/>
    </row>
    <row r="6">
      <c r="D6" s="1"/>
    </row>
    <row r="7">
      <c r="B7" s="11" t="s">
        <v>126</v>
      </c>
      <c r="D7" s="1"/>
    </row>
    <row r="8">
      <c r="B8" s="5" t="s">
        <v>127</v>
      </c>
      <c r="C8" s="5" t="s">
        <v>128</v>
      </c>
      <c r="D8" s="23" t="s">
        <v>129</v>
      </c>
      <c r="F8" s="5" t="s">
        <v>50</v>
      </c>
      <c r="G8" s="5" t="s">
        <v>130</v>
      </c>
    </row>
    <row r="9">
      <c r="B9" s="5">
        <v>1.0</v>
      </c>
      <c r="C9" s="5" t="s">
        <v>131</v>
      </c>
      <c r="D9" s="23">
        <v>18.0</v>
      </c>
      <c r="F9" s="5">
        <v>1.35E7</v>
      </c>
      <c r="G9" s="32">
        <f t="shared" ref="G9:G11" si="1">D9*E9*F9</f>
        <v>0</v>
      </c>
    </row>
    <row r="10">
      <c r="B10" s="5">
        <v>2.0</v>
      </c>
      <c r="C10" s="5" t="s">
        <v>132</v>
      </c>
      <c r="D10" s="23">
        <v>6.0</v>
      </c>
      <c r="F10" s="5">
        <v>7000000.0</v>
      </c>
      <c r="G10" s="32">
        <f t="shared" si="1"/>
        <v>0</v>
      </c>
    </row>
    <row r="11">
      <c r="B11" s="5">
        <v>3.0</v>
      </c>
      <c r="C11" s="5" t="s">
        <v>133</v>
      </c>
      <c r="D11" s="23">
        <v>1.0</v>
      </c>
      <c r="F11" s="5">
        <v>350000.0</v>
      </c>
      <c r="G11" s="32">
        <f t="shared" si="1"/>
        <v>0</v>
      </c>
    </row>
    <row r="12">
      <c r="D12" s="1"/>
    </row>
    <row r="13">
      <c r="C13" s="33" t="s">
        <v>134</v>
      </c>
      <c r="G13" s="33" t="s">
        <v>135</v>
      </c>
    </row>
    <row r="14">
      <c r="C14" s="33" t="s">
        <v>136</v>
      </c>
      <c r="G14" s="33" t="s">
        <v>97</v>
      </c>
    </row>
    <row r="15">
      <c r="C15" s="33" t="s">
        <v>137</v>
      </c>
      <c r="G15" s="33" t="s">
        <v>120</v>
      </c>
    </row>
    <row r="16">
      <c r="B16" s="11" t="s">
        <v>138</v>
      </c>
      <c r="C16" s="34"/>
      <c r="D16" s="1"/>
    </row>
    <row r="17">
      <c r="B17" s="5" t="s">
        <v>127</v>
      </c>
      <c r="C17" s="5" t="s">
        <v>128</v>
      </c>
      <c r="D17" s="5" t="s">
        <v>109</v>
      </c>
      <c r="F17" s="5" t="s">
        <v>31</v>
      </c>
      <c r="G17" s="5" t="s">
        <v>129</v>
      </c>
      <c r="H17" s="5" t="s">
        <v>139</v>
      </c>
      <c r="I17" s="5" t="s">
        <v>17</v>
      </c>
      <c r="J17" s="5" t="s">
        <v>130</v>
      </c>
      <c r="K17" s="5" t="s">
        <v>51</v>
      </c>
    </row>
    <row r="18">
      <c r="B18" s="18" t="s">
        <v>140</v>
      </c>
      <c r="C18" s="18" t="s">
        <v>141</v>
      </c>
      <c r="J18" s="18">
        <f>J19+J25+J26</f>
        <v>112500000</v>
      </c>
      <c r="K18" s="5"/>
    </row>
    <row r="19">
      <c r="B19" s="5">
        <v>1.0</v>
      </c>
      <c r="C19" s="5" t="s">
        <v>16</v>
      </c>
      <c r="D19" s="5" t="s">
        <v>142</v>
      </c>
      <c r="F19" s="15" t="s">
        <v>143</v>
      </c>
      <c r="G19" s="5">
        <v>1.0</v>
      </c>
      <c r="H19" s="5">
        <v>1.0</v>
      </c>
      <c r="I19" s="35">
        <v>8100000.0</v>
      </c>
      <c r="J19" s="32">
        <f>G19*H19*I19</f>
        <v>8100000</v>
      </c>
      <c r="K19" s="5" t="s">
        <v>144</v>
      </c>
    </row>
    <row r="20">
      <c r="C20" s="16" t="s">
        <v>145</v>
      </c>
    </row>
    <row r="21">
      <c r="C21" s="16" t="s">
        <v>18</v>
      </c>
      <c r="D21" s="17" t="s">
        <v>19</v>
      </c>
      <c r="F21" s="16" t="s">
        <v>20</v>
      </c>
      <c r="H21" s="16" t="s">
        <v>0</v>
      </c>
      <c r="J21" s="16" t="s">
        <v>146</v>
      </c>
      <c r="K21" s="20"/>
    </row>
    <row r="22">
      <c r="C22" s="16" t="s">
        <v>23</v>
      </c>
      <c r="D22" s="17" t="s">
        <v>24</v>
      </c>
      <c r="F22" s="16">
        <v>8500000.0</v>
      </c>
      <c r="H22" s="16" t="s">
        <v>147</v>
      </c>
      <c r="J22" s="20" t="b">
        <v>0</v>
      </c>
      <c r="K22" s="16" t="s">
        <v>148</v>
      </c>
    </row>
    <row r="23">
      <c r="C23" s="16" t="s">
        <v>27</v>
      </c>
      <c r="D23" s="17" t="s">
        <v>24</v>
      </c>
      <c r="F23" s="16">
        <v>8300000.0</v>
      </c>
      <c r="H23" s="16" t="s">
        <v>147</v>
      </c>
      <c r="J23" s="16" t="b">
        <v>0</v>
      </c>
      <c r="K23" s="16" t="s">
        <v>148</v>
      </c>
    </row>
    <row r="24">
      <c r="C24" s="16" t="s">
        <v>28</v>
      </c>
      <c r="D24" s="17" t="s">
        <v>24</v>
      </c>
      <c r="F24" s="16">
        <v>8100000.0</v>
      </c>
      <c r="H24" s="16" t="s">
        <v>147</v>
      </c>
      <c r="J24" s="16" t="b">
        <v>1</v>
      </c>
      <c r="K24" s="16" t="s">
        <v>148</v>
      </c>
    </row>
    <row r="25">
      <c r="B25" s="5">
        <v>3.0</v>
      </c>
      <c r="C25" s="5" t="s">
        <v>149</v>
      </c>
      <c r="D25" s="23" t="s">
        <v>111</v>
      </c>
      <c r="F25" s="23" t="s">
        <v>33</v>
      </c>
      <c r="G25" s="5">
        <v>18.0</v>
      </c>
      <c r="H25" s="5">
        <v>1.0</v>
      </c>
      <c r="I25" s="5">
        <v>4400000.0</v>
      </c>
      <c r="J25" s="32">
        <f t="shared" ref="J25:J26" si="2">G25*H25*I25</f>
        <v>79200000</v>
      </c>
      <c r="K25" s="5" t="s">
        <v>144</v>
      </c>
    </row>
    <row r="26">
      <c r="F26" s="5" t="s">
        <v>34</v>
      </c>
      <c r="G26" s="5">
        <v>6.0</v>
      </c>
      <c r="H26" s="5">
        <v>1.0</v>
      </c>
      <c r="I26" s="5">
        <v>4200000.0</v>
      </c>
      <c r="J26" s="32">
        <f t="shared" si="2"/>
        <v>25200000</v>
      </c>
    </row>
    <row r="27">
      <c r="C27" s="16" t="s">
        <v>145</v>
      </c>
    </row>
    <row r="28">
      <c r="C28" s="16" t="s">
        <v>18</v>
      </c>
      <c r="D28" s="17" t="s">
        <v>31</v>
      </c>
      <c r="F28" s="16" t="s">
        <v>50</v>
      </c>
      <c r="H28" s="16" t="s">
        <v>0</v>
      </c>
      <c r="J28" s="16" t="s">
        <v>146</v>
      </c>
      <c r="K28" s="20"/>
    </row>
    <row r="29">
      <c r="C29" s="22" t="s">
        <v>32</v>
      </c>
      <c r="D29" s="17" t="s">
        <v>33</v>
      </c>
      <c r="F29" s="22">
        <v>4400000.0</v>
      </c>
      <c r="H29" s="22" t="s">
        <v>147</v>
      </c>
      <c r="J29" s="16" t="b">
        <v>1</v>
      </c>
      <c r="K29" s="16" t="s">
        <v>148</v>
      </c>
    </row>
    <row r="30">
      <c r="D30" s="17" t="s">
        <v>34</v>
      </c>
      <c r="F30" s="22">
        <v>4200000.0</v>
      </c>
    </row>
    <row r="31">
      <c r="C31" s="22" t="s">
        <v>36</v>
      </c>
      <c r="D31" s="17" t="s">
        <v>33</v>
      </c>
      <c r="F31" s="22">
        <v>4500000.0</v>
      </c>
      <c r="H31" s="22" t="s">
        <v>147</v>
      </c>
      <c r="J31" s="16" t="b">
        <v>0</v>
      </c>
      <c r="K31" s="16" t="s">
        <v>148</v>
      </c>
    </row>
    <row r="32">
      <c r="D32" s="17" t="s">
        <v>34</v>
      </c>
      <c r="F32" s="22">
        <v>4300000.0</v>
      </c>
    </row>
    <row r="33">
      <c r="B33" s="18" t="s">
        <v>150</v>
      </c>
      <c r="C33" s="18" t="s">
        <v>151</v>
      </c>
      <c r="J33" s="18">
        <f>J35+J36+J46+J47</f>
        <v>45200000</v>
      </c>
      <c r="K33" s="5"/>
    </row>
    <row r="34">
      <c r="B34" s="5">
        <v>5.0</v>
      </c>
      <c r="C34" s="5" t="s">
        <v>152</v>
      </c>
      <c r="D34" s="5" t="s">
        <v>153</v>
      </c>
      <c r="F34" s="36" t="s">
        <v>143</v>
      </c>
      <c r="G34" s="5">
        <v>1.0</v>
      </c>
      <c r="H34" s="5">
        <v>2.0</v>
      </c>
      <c r="I34" s="5">
        <v>1400000.0</v>
      </c>
      <c r="J34" s="32">
        <f t="shared" ref="J34:J36" si="3">G34*H34*I34</f>
        <v>2800000</v>
      </c>
      <c r="K34" s="5" t="s">
        <v>144</v>
      </c>
    </row>
    <row r="35">
      <c r="B35" s="5">
        <v>6.0</v>
      </c>
      <c r="C35" s="5" t="s">
        <v>154</v>
      </c>
      <c r="D35" s="5" t="s">
        <v>153</v>
      </c>
      <c r="F35" s="15" t="s">
        <v>143</v>
      </c>
      <c r="G35" s="5">
        <v>9.0</v>
      </c>
      <c r="H35" s="5">
        <v>2.0</v>
      </c>
      <c r="I35" s="5">
        <v>1300000.0</v>
      </c>
      <c r="J35" s="32">
        <f t="shared" si="3"/>
        <v>23400000</v>
      </c>
    </row>
    <row r="36">
      <c r="B36" s="5">
        <v>7.0</v>
      </c>
      <c r="C36" s="5" t="s">
        <v>155</v>
      </c>
      <c r="D36" s="5" t="s">
        <v>153</v>
      </c>
      <c r="F36" s="15" t="s">
        <v>143</v>
      </c>
      <c r="G36" s="5">
        <v>2.0</v>
      </c>
      <c r="H36" s="5">
        <v>2.0</v>
      </c>
      <c r="I36" s="5">
        <v>1200000.0</v>
      </c>
      <c r="J36" s="32">
        <f t="shared" si="3"/>
        <v>4800000</v>
      </c>
    </row>
    <row r="37">
      <c r="C37" s="16" t="s">
        <v>145</v>
      </c>
    </row>
    <row r="38">
      <c r="C38" s="16" t="s">
        <v>18</v>
      </c>
      <c r="D38" s="37" t="s">
        <v>49</v>
      </c>
      <c r="F38" s="37" t="s">
        <v>19</v>
      </c>
      <c r="H38" s="38" t="s">
        <v>50</v>
      </c>
      <c r="J38" s="37" t="s">
        <v>146</v>
      </c>
      <c r="K38" s="20"/>
    </row>
    <row r="39">
      <c r="C39" s="38" t="s">
        <v>56</v>
      </c>
      <c r="D39" s="39" t="s">
        <v>57</v>
      </c>
      <c r="F39" s="38" t="s">
        <v>58</v>
      </c>
      <c r="H39" s="40">
        <v>1200000.0</v>
      </c>
      <c r="J39" s="41" t="b">
        <v>1</v>
      </c>
      <c r="K39" s="16" t="s">
        <v>148</v>
      </c>
    </row>
    <row r="40">
      <c r="F40" s="38" t="s">
        <v>59</v>
      </c>
      <c r="H40" s="40">
        <v>1300000.0</v>
      </c>
    </row>
    <row r="41">
      <c r="F41" s="16" t="s">
        <v>60</v>
      </c>
      <c r="H41" s="40">
        <v>1400000.0</v>
      </c>
    </row>
    <row r="42">
      <c r="C42" s="38" t="s">
        <v>63</v>
      </c>
      <c r="D42" s="17" t="s">
        <v>64</v>
      </c>
      <c r="F42" s="38" t="s">
        <v>58</v>
      </c>
      <c r="H42" s="42">
        <v>1200000.0</v>
      </c>
      <c r="J42" s="41" t="b">
        <v>0</v>
      </c>
      <c r="K42" s="16" t="s">
        <v>148</v>
      </c>
    </row>
    <row r="43">
      <c r="F43" s="38" t="s">
        <v>59</v>
      </c>
      <c r="H43" s="40">
        <v>1400000.0</v>
      </c>
    </row>
    <row r="44">
      <c r="F44" s="16" t="s">
        <v>60</v>
      </c>
      <c r="H44" s="40">
        <v>1600000.0</v>
      </c>
    </row>
    <row r="45">
      <c r="B45" s="5">
        <v>8.0</v>
      </c>
      <c r="C45" s="5" t="s">
        <v>156</v>
      </c>
      <c r="D45" s="5" t="s">
        <v>153</v>
      </c>
      <c r="F45" s="36" t="s">
        <v>143</v>
      </c>
      <c r="G45" s="5">
        <v>1.0</v>
      </c>
      <c r="H45" s="5">
        <v>1.0</v>
      </c>
      <c r="I45" s="5">
        <v>1700000.0</v>
      </c>
      <c r="J45" s="32">
        <f t="shared" ref="J45:J47" si="4">G45*H45*I45</f>
        <v>1700000</v>
      </c>
      <c r="K45" s="5" t="s">
        <v>157</v>
      </c>
    </row>
    <row r="46">
      <c r="B46" s="5">
        <v>9.0</v>
      </c>
      <c r="C46" s="5" t="s">
        <v>158</v>
      </c>
      <c r="D46" s="5" t="s">
        <v>153</v>
      </c>
      <c r="F46" s="15" t="s">
        <v>143</v>
      </c>
      <c r="G46" s="5">
        <v>9.0</v>
      </c>
      <c r="H46" s="5">
        <v>1.0</v>
      </c>
      <c r="I46" s="5">
        <v>1600000.0</v>
      </c>
      <c r="J46" s="32">
        <f t="shared" si="4"/>
        <v>14400000</v>
      </c>
    </row>
    <row r="47">
      <c r="B47" s="5">
        <v>10.0</v>
      </c>
      <c r="C47" s="5" t="s">
        <v>159</v>
      </c>
      <c r="D47" s="5" t="s">
        <v>153</v>
      </c>
      <c r="F47" s="15" t="s">
        <v>143</v>
      </c>
      <c r="G47" s="5">
        <v>2.0</v>
      </c>
      <c r="H47" s="5">
        <v>1.0</v>
      </c>
      <c r="I47" s="5">
        <v>1300000.0</v>
      </c>
      <c r="J47" s="32">
        <f t="shared" si="4"/>
        <v>2600000</v>
      </c>
    </row>
    <row r="48">
      <c r="B48" s="18" t="s">
        <v>160</v>
      </c>
      <c r="C48" s="18" t="s">
        <v>161</v>
      </c>
      <c r="J48" s="18">
        <f>J49+J57+J58+J59+J60+J61+J62</f>
        <v>21024000</v>
      </c>
      <c r="K48" s="5"/>
    </row>
    <row r="49">
      <c r="B49" s="5">
        <v>11.0</v>
      </c>
      <c r="C49" s="5" t="s">
        <v>70</v>
      </c>
      <c r="D49" s="5" t="s">
        <v>111</v>
      </c>
      <c r="F49" s="5" t="s">
        <v>162</v>
      </c>
      <c r="G49" s="5">
        <v>24.0</v>
      </c>
      <c r="H49" s="5">
        <v>1.0</v>
      </c>
      <c r="I49" s="5">
        <v>120000.0</v>
      </c>
      <c r="J49" s="32">
        <f>G49*H49*I49</f>
        <v>2880000</v>
      </c>
      <c r="K49" s="5" t="s">
        <v>144</v>
      </c>
    </row>
    <row r="50">
      <c r="C50" s="16" t="s">
        <v>145</v>
      </c>
    </row>
    <row r="51">
      <c r="C51" s="16" t="s">
        <v>18</v>
      </c>
      <c r="D51" s="37" t="s">
        <v>49</v>
      </c>
      <c r="F51" s="37" t="s">
        <v>19</v>
      </c>
      <c r="H51" s="38" t="s">
        <v>50</v>
      </c>
      <c r="J51" s="37" t="s">
        <v>146</v>
      </c>
      <c r="K51" s="20"/>
    </row>
    <row r="52">
      <c r="C52" s="37" t="s">
        <v>163</v>
      </c>
      <c r="D52" s="39" t="s">
        <v>57</v>
      </c>
      <c r="F52" s="37" t="s">
        <v>73</v>
      </c>
      <c r="H52" s="43">
        <v>120000.0</v>
      </c>
      <c r="J52" s="41" t="b">
        <v>1</v>
      </c>
      <c r="K52" s="16" t="s">
        <v>148</v>
      </c>
    </row>
    <row r="53">
      <c r="F53" s="37" t="s">
        <v>164</v>
      </c>
      <c r="H53" s="43">
        <v>130000.0</v>
      </c>
      <c r="J53" s="44"/>
    </row>
    <row r="54">
      <c r="C54" s="37" t="s">
        <v>165</v>
      </c>
      <c r="D54" s="17" t="s">
        <v>62</v>
      </c>
      <c r="F54" s="37" t="s">
        <v>74</v>
      </c>
      <c r="H54" s="42">
        <v>140000.0</v>
      </c>
      <c r="J54" s="41" t="b">
        <v>0</v>
      </c>
      <c r="K54" s="16" t="s">
        <v>148</v>
      </c>
    </row>
    <row r="55">
      <c r="C55" s="37" t="s">
        <v>166</v>
      </c>
      <c r="D55" s="17" t="s">
        <v>75</v>
      </c>
      <c r="F55" s="37" t="s">
        <v>76</v>
      </c>
      <c r="H55" s="42">
        <v>125000.0</v>
      </c>
      <c r="J55" s="44"/>
      <c r="K55" s="16" t="s">
        <v>148</v>
      </c>
    </row>
    <row r="56">
      <c r="C56" s="37" t="s">
        <v>167</v>
      </c>
      <c r="D56" s="17" t="s">
        <v>64</v>
      </c>
      <c r="F56" s="37" t="s">
        <v>74</v>
      </c>
      <c r="H56" s="42">
        <v>140000.0</v>
      </c>
      <c r="J56" s="41" t="b">
        <v>0</v>
      </c>
      <c r="K56" s="16" t="s">
        <v>148</v>
      </c>
    </row>
    <row r="57">
      <c r="B57" s="5">
        <v>12.0</v>
      </c>
      <c r="C57" s="5" t="s">
        <v>79</v>
      </c>
      <c r="D57" s="5" t="s">
        <v>111</v>
      </c>
      <c r="F57" s="5" t="s">
        <v>162</v>
      </c>
      <c r="G57" s="5">
        <v>24.0</v>
      </c>
      <c r="H57" s="5">
        <v>1.0</v>
      </c>
      <c r="I57" s="5">
        <v>125000.0</v>
      </c>
      <c r="J57" s="32">
        <f t="shared" ref="J57:J62" si="5">G57*H57*I57</f>
        <v>3000000</v>
      </c>
      <c r="K57" s="5" t="s">
        <v>157</v>
      </c>
    </row>
    <row r="58">
      <c r="B58" s="5">
        <v>13.0</v>
      </c>
      <c r="C58" s="5" t="s">
        <v>86</v>
      </c>
      <c r="D58" s="5" t="s">
        <v>111</v>
      </c>
      <c r="F58" s="5" t="s">
        <v>162</v>
      </c>
      <c r="G58" s="5">
        <v>24.0</v>
      </c>
      <c r="H58" s="5">
        <v>1.0</v>
      </c>
      <c r="I58" s="5">
        <v>115000.0</v>
      </c>
      <c r="J58" s="32">
        <f t="shared" si="5"/>
        <v>2760000</v>
      </c>
      <c r="K58" s="5" t="s">
        <v>157</v>
      </c>
    </row>
    <row r="59">
      <c r="B59" s="5">
        <v>14.0</v>
      </c>
      <c r="C59" s="5" t="s">
        <v>87</v>
      </c>
      <c r="D59" s="5" t="s">
        <v>111</v>
      </c>
      <c r="F59" s="5" t="s">
        <v>162</v>
      </c>
      <c r="G59" s="5">
        <v>24.0</v>
      </c>
      <c r="H59" s="5">
        <v>1.0</v>
      </c>
      <c r="I59" s="5">
        <v>130000.0</v>
      </c>
      <c r="J59" s="32">
        <f t="shared" si="5"/>
        <v>3120000</v>
      </c>
      <c r="K59" s="5" t="s">
        <v>157</v>
      </c>
    </row>
    <row r="60">
      <c r="B60" s="5">
        <v>15.0</v>
      </c>
      <c r="C60" s="5" t="s">
        <v>88</v>
      </c>
      <c r="D60" s="5" t="s">
        <v>111</v>
      </c>
      <c r="F60" s="5" t="s">
        <v>162</v>
      </c>
      <c r="G60" s="5">
        <v>24.0</v>
      </c>
      <c r="H60" s="5">
        <v>1.0</v>
      </c>
      <c r="I60" s="5">
        <v>135000.0</v>
      </c>
      <c r="J60" s="32">
        <f t="shared" si="5"/>
        <v>3240000</v>
      </c>
      <c r="K60" s="5" t="s">
        <v>157</v>
      </c>
    </row>
    <row r="61">
      <c r="B61" s="5">
        <v>16.0</v>
      </c>
      <c r="C61" s="5" t="s">
        <v>89</v>
      </c>
      <c r="D61" s="5" t="s">
        <v>111</v>
      </c>
      <c r="F61" s="5" t="s">
        <v>162</v>
      </c>
      <c r="G61" s="5">
        <v>24.0</v>
      </c>
      <c r="H61" s="5">
        <v>1.0</v>
      </c>
      <c r="I61" s="5">
        <v>124000.0</v>
      </c>
      <c r="J61" s="32">
        <f t="shared" si="5"/>
        <v>2976000</v>
      </c>
      <c r="K61" s="5" t="s">
        <v>157</v>
      </c>
    </row>
    <row r="62">
      <c r="B62" s="5">
        <v>17.0</v>
      </c>
      <c r="C62" s="5" t="s">
        <v>90</v>
      </c>
      <c r="D62" s="5" t="s">
        <v>111</v>
      </c>
      <c r="F62" s="5" t="s">
        <v>162</v>
      </c>
      <c r="G62" s="5">
        <v>24.0</v>
      </c>
      <c r="H62" s="5">
        <v>1.0</v>
      </c>
      <c r="I62" s="5">
        <v>127000.0</v>
      </c>
      <c r="J62" s="32">
        <f t="shared" si="5"/>
        <v>3048000</v>
      </c>
      <c r="K62" s="5" t="s">
        <v>157</v>
      </c>
    </row>
    <row r="63">
      <c r="B63" s="18" t="s">
        <v>168</v>
      </c>
      <c r="C63" s="18" t="s">
        <v>169</v>
      </c>
      <c r="J63" s="18">
        <f>sum(J64:J70)</f>
        <v>22680000</v>
      </c>
      <c r="K63" s="5"/>
    </row>
    <row r="64">
      <c r="B64" s="5">
        <v>21.0</v>
      </c>
      <c r="C64" s="23" t="s">
        <v>170</v>
      </c>
      <c r="D64" s="5" t="s">
        <v>111</v>
      </c>
      <c r="F64" s="5" t="s">
        <v>162</v>
      </c>
      <c r="G64" s="5">
        <v>24.0</v>
      </c>
      <c r="H64" s="5">
        <v>1.0</v>
      </c>
      <c r="I64" s="5">
        <v>250000.0</v>
      </c>
      <c r="J64" s="32">
        <f t="shared" ref="J64:J70" si="6">G64*H64*I64</f>
        <v>6000000</v>
      </c>
      <c r="K64" s="5" t="s">
        <v>148</v>
      </c>
    </row>
    <row r="65">
      <c r="B65" s="5">
        <v>22.0</v>
      </c>
      <c r="C65" s="23" t="s">
        <v>171</v>
      </c>
      <c r="D65" s="5" t="s">
        <v>111</v>
      </c>
      <c r="F65" s="5" t="s">
        <v>33</v>
      </c>
      <c r="G65" s="5">
        <v>18.0</v>
      </c>
      <c r="H65" s="5">
        <v>1.0</v>
      </c>
      <c r="I65" s="5">
        <v>120000.0</v>
      </c>
      <c r="J65" s="32">
        <f t="shared" si="6"/>
        <v>2160000</v>
      </c>
      <c r="K65" s="5" t="s">
        <v>148</v>
      </c>
    </row>
    <row r="66">
      <c r="B66" s="5">
        <v>23.0</v>
      </c>
      <c r="F66" s="5" t="s">
        <v>34</v>
      </c>
      <c r="G66" s="5">
        <v>6.0</v>
      </c>
      <c r="H66" s="5">
        <v>1.0</v>
      </c>
      <c r="I66" s="5">
        <v>100000.0</v>
      </c>
      <c r="J66" s="32">
        <f t="shared" si="6"/>
        <v>600000</v>
      </c>
    </row>
    <row r="67">
      <c r="C67" s="23" t="s">
        <v>172</v>
      </c>
      <c r="D67" s="5" t="s">
        <v>111</v>
      </c>
      <c r="F67" s="5" t="s">
        <v>162</v>
      </c>
      <c r="G67" s="5">
        <v>24.0</v>
      </c>
      <c r="H67" s="5">
        <v>1.0</v>
      </c>
      <c r="I67" s="5">
        <v>145000.0</v>
      </c>
      <c r="J67" s="32">
        <f t="shared" si="6"/>
        <v>3480000</v>
      </c>
      <c r="K67" s="5" t="s">
        <v>148</v>
      </c>
    </row>
    <row r="68">
      <c r="B68" s="5">
        <v>24.0</v>
      </c>
      <c r="C68" s="23" t="s">
        <v>172</v>
      </c>
      <c r="D68" s="5" t="s">
        <v>111</v>
      </c>
      <c r="F68" s="5" t="s">
        <v>162</v>
      </c>
      <c r="G68" s="5">
        <v>24.0</v>
      </c>
      <c r="H68" s="5">
        <v>1.0</v>
      </c>
      <c r="I68" s="5">
        <v>145000.0</v>
      </c>
      <c r="J68" s="32">
        <f t="shared" si="6"/>
        <v>3480000</v>
      </c>
      <c r="K68" s="5" t="s">
        <v>148</v>
      </c>
    </row>
    <row r="69">
      <c r="B69" s="5">
        <v>25.0</v>
      </c>
      <c r="C69" s="23" t="s">
        <v>173</v>
      </c>
      <c r="D69" s="5" t="s">
        <v>111</v>
      </c>
      <c r="F69" s="5" t="s">
        <v>162</v>
      </c>
      <c r="G69" s="5">
        <v>24.0</v>
      </c>
      <c r="H69" s="5">
        <v>1.0</v>
      </c>
      <c r="I69" s="5">
        <v>145000.0</v>
      </c>
      <c r="J69" s="32">
        <f t="shared" si="6"/>
        <v>3480000</v>
      </c>
      <c r="K69" s="5" t="s">
        <v>148</v>
      </c>
    </row>
    <row r="70">
      <c r="A70" s="45"/>
      <c r="B70" s="5">
        <v>26.0</v>
      </c>
      <c r="C70" s="46" t="s">
        <v>174</v>
      </c>
      <c r="D70" s="45" t="s">
        <v>111</v>
      </c>
      <c r="F70" s="45" t="s">
        <v>162</v>
      </c>
      <c r="G70" s="47">
        <v>24.0</v>
      </c>
      <c r="H70" s="47">
        <v>1.0</v>
      </c>
      <c r="I70" s="47">
        <v>145000.0</v>
      </c>
      <c r="J70" s="47">
        <f t="shared" si="6"/>
        <v>3480000</v>
      </c>
      <c r="K70" s="5" t="s">
        <v>148</v>
      </c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B71" s="18" t="s">
        <v>175</v>
      </c>
      <c r="C71" s="18" t="s">
        <v>176</v>
      </c>
      <c r="J71" s="48">
        <f>J72</f>
        <v>400000</v>
      </c>
    </row>
    <row r="72">
      <c r="B72" s="5">
        <v>27.0</v>
      </c>
      <c r="C72" s="5" t="s">
        <v>176</v>
      </c>
      <c r="D72" s="5" t="s">
        <v>111</v>
      </c>
      <c r="F72" s="15" t="s">
        <v>143</v>
      </c>
      <c r="G72" s="5">
        <v>1.0</v>
      </c>
      <c r="H72" s="5">
        <v>1.0</v>
      </c>
      <c r="I72" s="5">
        <v>400000.0</v>
      </c>
      <c r="J72" s="47">
        <f>G72*H72*I72</f>
        <v>400000</v>
      </c>
    </row>
    <row r="73">
      <c r="B73" s="18" t="s">
        <v>177</v>
      </c>
      <c r="C73" s="18" t="s">
        <v>178</v>
      </c>
      <c r="J73" s="48">
        <f>J74</f>
        <v>9600000</v>
      </c>
    </row>
    <row r="74">
      <c r="B74" s="5">
        <v>28.0</v>
      </c>
      <c r="C74" s="5" t="s">
        <v>110</v>
      </c>
      <c r="D74" s="5" t="s">
        <v>111</v>
      </c>
      <c r="F74" s="5" t="s">
        <v>162</v>
      </c>
      <c r="G74" s="5">
        <v>24.0</v>
      </c>
      <c r="H74" s="5">
        <v>2.0</v>
      </c>
      <c r="I74" s="5">
        <v>200000.0</v>
      </c>
      <c r="J74" s="47">
        <f>G74*H74*I74</f>
        <v>9600000</v>
      </c>
      <c r="K74" s="5" t="s">
        <v>148</v>
      </c>
    </row>
    <row r="75">
      <c r="B75" s="33" t="s">
        <v>179</v>
      </c>
      <c r="C75" s="33" t="s">
        <v>180</v>
      </c>
      <c r="J75" s="33" t="s">
        <v>135</v>
      </c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</sheetData>
  <mergeCells count="124">
    <mergeCell ref="B7:C7"/>
    <mergeCell ref="D8:E8"/>
    <mergeCell ref="D9:E9"/>
    <mergeCell ref="D10:E10"/>
    <mergeCell ref="D11:E11"/>
    <mergeCell ref="C13:F13"/>
    <mergeCell ref="C14:F14"/>
    <mergeCell ref="C15:F15"/>
    <mergeCell ref="D17:E17"/>
    <mergeCell ref="C18:I18"/>
    <mergeCell ref="D19:E19"/>
    <mergeCell ref="C20:K20"/>
    <mergeCell ref="F21:G21"/>
    <mergeCell ref="H21:I21"/>
    <mergeCell ref="D21:E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B25:B26"/>
    <mergeCell ref="C25:C26"/>
    <mergeCell ref="K25:K26"/>
    <mergeCell ref="C27:K27"/>
    <mergeCell ref="H29:I30"/>
    <mergeCell ref="J29:J30"/>
    <mergeCell ref="K29:K30"/>
    <mergeCell ref="D25:E26"/>
    <mergeCell ref="D28:E28"/>
    <mergeCell ref="F28:G28"/>
    <mergeCell ref="H28:I28"/>
    <mergeCell ref="C29:C30"/>
    <mergeCell ref="D29:E29"/>
    <mergeCell ref="F29:G29"/>
    <mergeCell ref="D31:E31"/>
    <mergeCell ref="D32:E32"/>
    <mergeCell ref="C42:C44"/>
    <mergeCell ref="D42:E44"/>
    <mergeCell ref="D45:E45"/>
    <mergeCell ref="D46:E46"/>
    <mergeCell ref="D47:E47"/>
    <mergeCell ref="C48:I48"/>
    <mergeCell ref="C50:K50"/>
    <mergeCell ref="F53:G53"/>
    <mergeCell ref="H53:I53"/>
    <mergeCell ref="D49:E49"/>
    <mergeCell ref="D51:E51"/>
    <mergeCell ref="F51:G51"/>
    <mergeCell ref="H51:I51"/>
    <mergeCell ref="C52:C53"/>
    <mergeCell ref="D52:E53"/>
    <mergeCell ref="F52:G52"/>
    <mergeCell ref="H52:I52"/>
    <mergeCell ref="K52:K53"/>
    <mergeCell ref="D54:E54"/>
    <mergeCell ref="F54:G54"/>
    <mergeCell ref="H54:I54"/>
    <mergeCell ref="F55:G55"/>
    <mergeCell ref="H55:I55"/>
    <mergeCell ref="D55:E55"/>
    <mergeCell ref="D56:E56"/>
    <mergeCell ref="F56:G56"/>
    <mergeCell ref="H56:I56"/>
    <mergeCell ref="D57:E57"/>
    <mergeCell ref="D58:E58"/>
    <mergeCell ref="D59:E59"/>
    <mergeCell ref="D60:E60"/>
    <mergeCell ref="D61:E61"/>
    <mergeCell ref="D62:E62"/>
    <mergeCell ref="C63:I63"/>
    <mergeCell ref="D64:E64"/>
    <mergeCell ref="D65:E66"/>
    <mergeCell ref="K65:K66"/>
    <mergeCell ref="C65:C66"/>
    <mergeCell ref="B66:B67"/>
    <mergeCell ref="D67:E67"/>
    <mergeCell ref="D68:E68"/>
    <mergeCell ref="D69:E69"/>
    <mergeCell ref="D70:E70"/>
    <mergeCell ref="C71:I71"/>
    <mergeCell ref="D30:E30"/>
    <mergeCell ref="F30:G30"/>
    <mergeCell ref="C31:C32"/>
    <mergeCell ref="F31:G31"/>
    <mergeCell ref="H31:I32"/>
    <mergeCell ref="J31:J32"/>
    <mergeCell ref="K31:K32"/>
    <mergeCell ref="F32:G32"/>
    <mergeCell ref="C33:I33"/>
    <mergeCell ref="D34:E34"/>
    <mergeCell ref="K34:K36"/>
    <mergeCell ref="D35:E35"/>
    <mergeCell ref="D36:E36"/>
    <mergeCell ref="C37:K37"/>
    <mergeCell ref="J39:J41"/>
    <mergeCell ref="K39:K41"/>
    <mergeCell ref="J42:J44"/>
    <mergeCell ref="K42:K44"/>
    <mergeCell ref="K45:K47"/>
    <mergeCell ref="F40:G40"/>
    <mergeCell ref="H40:I40"/>
    <mergeCell ref="F41:G41"/>
    <mergeCell ref="H41:I41"/>
    <mergeCell ref="F42:G42"/>
    <mergeCell ref="H42:I42"/>
    <mergeCell ref="F43:G43"/>
    <mergeCell ref="H43:I43"/>
    <mergeCell ref="F44:G44"/>
    <mergeCell ref="H44:I44"/>
    <mergeCell ref="D38:E38"/>
    <mergeCell ref="F38:G38"/>
    <mergeCell ref="H38:I38"/>
    <mergeCell ref="C39:C41"/>
    <mergeCell ref="D39:E41"/>
    <mergeCell ref="F39:G39"/>
    <mergeCell ref="H39:I39"/>
    <mergeCell ref="D72:E72"/>
    <mergeCell ref="C73:I73"/>
    <mergeCell ref="D74:E74"/>
    <mergeCell ref="C75:I7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4" max="4" width="21.5"/>
    <col hidden="1" min="5" max="9" width="12.63"/>
  </cols>
  <sheetData>
    <row r="1">
      <c r="K1" s="49"/>
    </row>
    <row r="2">
      <c r="K2" s="49"/>
    </row>
    <row r="3">
      <c r="K3" s="49"/>
    </row>
    <row r="4">
      <c r="K4" s="49"/>
    </row>
    <row r="5">
      <c r="K5" s="49"/>
    </row>
    <row r="6">
      <c r="K6" s="49"/>
    </row>
    <row r="7">
      <c r="B7" s="5" t="s">
        <v>127</v>
      </c>
      <c r="C7" s="5" t="s">
        <v>18</v>
      </c>
      <c r="D7" s="5" t="s">
        <v>19</v>
      </c>
      <c r="E7" s="5" t="s">
        <v>109</v>
      </c>
      <c r="F7" s="5" t="s">
        <v>31</v>
      </c>
      <c r="G7" s="5" t="s">
        <v>129</v>
      </c>
      <c r="H7" s="5" t="s">
        <v>139</v>
      </c>
      <c r="I7" s="5" t="s">
        <v>50</v>
      </c>
      <c r="J7" s="5" t="s">
        <v>181</v>
      </c>
      <c r="K7" s="50" t="s">
        <v>182</v>
      </c>
      <c r="L7" s="5" t="s">
        <v>183</v>
      </c>
      <c r="M7" s="5" t="s">
        <v>0</v>
      </c>
    </row>
    <row r="8">
      <c r="B8" s="51" t="s">
        <v>140</v>
      </c>
      <c r="C8" s="51" t="s">
        <v>141</v>
      </c>
    </row>
    <row r="9">
      <c r="C9" s="5" t="s">
        <v>28</v>
      </c>
      <c r="D9" s="5" t="s">
        <v>16</v>
      </c>
      <c r="E9" s="5" t="s">
        <v>142</v>
      </c>
      <c r="F9" s="15" t="s">
        <v>143</v>
      </c>
      <c r="G9" s="5">
        <v>1.0</v>
      </c>
      <c r="H9" s="5">
        <v>1.0</v>
      </c>
      <c r="I9" s="35">
        <v>8100000.0</v>
      </c>
      <c r="J9" s="35">
        <v>8100000.0</v>
      </c>
      <c r="K9" s="52" t="s">
        <v>184</v>
      </c>
      <c r="L9" s="15">
        <v>100000.0</v>
      </c>
      <c r="M9" s="5" t="s">
        <v>185</v>
      </c>
    </row>
    <row r="10">
      <c r="C10" s="5" t="s">
        <v>23</v>
      </c>
      <c r="D10" s="5" t="s">
        <v>186</v>
      </c>
      <c r="E10" s="5" t="s">
        <v>111</v>
      </c>
      <c r="F10" s="23" t="s">
        <v>162</v>
      </c>
      <c r="G10" s="5">
        <v>24.0</v>
      </c>
      <c r="H10" s="5">
        <v>1.0</v>
      </c>
      <c r="I10" s="24">
        <v>100000.0</v>
      </c>
      <c r="J10" s="32">
        <f t="shared" ref="J10:J13" si="1">G10*H10*I10</f>
        <v>2400000</v>
      </c>
      <c r="K10" s="49">
        <v>2400000.0</v>
      </c>
      <c r="L10" s="15">
        <v>0.0</v>
      </c>
      <c r="M10" s="53" t="s">
        <v>25</v>
      </c>
    </row>
    <row r="11">
      <c r="C11" s="23" t="s">
        <v>32</v>
      </c>
      <c r="D11" s="5" t="s">
        <v>149</v>
      </c>
      <c r="E11" s="23" t="s">
        <v>111</v>
      </c>
      <c r="F11" s="23" t="s">
        <v>33</v>
      </c>
      <c r="G11" s="5">
        <v>18.0</v>
      </c>
      <c r="H11" s="5">
        <v>1.0</v>
      </c>
      <c r="I11" s="5">
        <v>4400000.0</v>
      </c>
      <c r="J11" s="32">
        <f t="shared" si="1"/>
        <v>79200000</v>
      </c>
      <c r="K11" s="49">
        <v>7.92E7</v>
      </c>
      <c r="L11" s="15">
        <v>0.0</v>
      </c>
      <c r="M11" s="53" t="s">
        <v>25</v>
      </c>
    </row>
    <row r="12">
      <c r="F12" s="5" t="s">
        <v>34</v>
      </c>
      <c r="G12" s="5">
        <v>6.0</v>
      </c>
      <c r="H12" s="5">
        <v>1.0</v>
      </c>
      <c r="I12" s="5">
        <v>4200000.0</v>
      </c>
      <c r="J12" s="32">
        <f t="shared" si="1"/>
        <v>25200000</v>
      </c>
      <c r="K12" s="49">
        <v>2.52E7</v>
      </c>
      <c r="L12" s="15">
        <v>0.0</v>
      </c>
      <c r="M12" s="53" t="s">
        <v>25</v>
      </c>
    </row>
    <row r="13">
      <c r="C13" s="5" t="s">
        <v>27</v>
      </c>
      <c r="D13" s="23" t="s">
        <v>187</v>
      </c>
      <c r="E13" s="5" t="s">
        <v>111</v>
      </c>
      <c r="F13" s="5" t="s">
        <v>162</v>
      </c>
      <c r="G13" s="5">
        <v>24.0</v>
      </c>
      <c r="H13" s="5">
        <v>1.0</v>
      </c>
      <c r="I13" s="5">
        <v>120000.0</v>
      </c>
      <c r="J13" s="32">
        <f t="shared" si="1"/>
        <v>2880000</v>
      </c>
      <c r="K13" s="49">
        <v>2880000.0</v>
      </c>
      <c r="L13" s="15">
        <v>0.0</v>
      </c>
      <c r="M13" s="53" t="s">
        <v>25</v>
      </c>
    </row>
    <row r="14">
      <c r="B14" s="51" t="s">
        <v>150</v>
      </c>
      <c r="C14" s="54" t="s">
        <v>151</v>
      </c>
    </row>
    <row r="15">
      <c r="C15" s="5" t="s">
        <v>63</v>
      </c>
      <c r="D15" s="45" t="s">
        <v>154</v>
      </c>
      <c r="E15" s="45" t="s">
        <v>153</v>
      </c>
      <c r="F15" s="55" t="s">
        <v>143</v>
      </c>
      <c r="G15" s="47">
        <v>9.0</v>
      </c>
      <c r="H15" s="47">
        <v>2.0</v>
      </c>
      <c r="I15" s="47">
        <v>1500000.0</v>
      </c>
      <c r="J15" s="47">
        <f t="shared" ref="J15:J18" si="2">G15*H15*I15</f>
        <v>27000000</v>
      </c>
      <c r="K15" s="49">
        <v>2.7E7</v>
      </c>
      <c r="L15" s="15">
        <v>0.0</v>
      </c>
      <c r="M15" s="53" t="s">
        <v>25</v>
      </c>
    </row>
    <row r="16">
      <c r="D16" s="45" t="s">
        <v>155</v>
      </c>
      <c r="E16" s="45" t="s">
        <v>153</v>
      </c>
      <c r="F16" s="55" t="s">
        <v>143</v>
      </c>
      <c r="G16" s="47">
        <v>2.0</v>
      </c>
      <c r="H16" s="47">
        <v>2.0</v>
      </c>
      <c r="I16" s="47">
        <v>1200000.0</v>
      </c>
      <c r="J16" s="47">
        <f t="shared" si="2"/>
        <v>4800000</v>
      </c>
      <c r="K16" s="49">
        <v>4800000.0</v>
      </c>
      <c r="L16" s="15">
        <v>0.0</v>
      </c>
      <c r="M16" s="53" t="s">
        <v>25</v>
      </c>
    </row>
    <row r="17">
      <c r="C17" s="5" t="s">
        <v>188</v>
      </c>
      <c r="D17" s="45" t="s">
        <v>158</v>
      </c>
      <c r="E17" s="45" t="s">
        <v>153</v>
      </c>
      <c r="F17" s="55" t="s">
        <v>143</v>
      </c>
      <c r="G17" s="47">
        <v>9.0</v>
      </c>
      <c r="H17" s="47">
        <v>1.0</v>
      </c>
      <c r="I17" s="47">
        <v>1600000.0</v>
      </c>
      <c r="J17" s="47">
        <f t="shared" si="2"/>
        <v>14400000</v>
      </c>
      <c r="K17" s="49">
        <v>1.44E7</v>
      </c>
      <c r="L17" s="15">
        <v>0.0</v>
      </c>
      <c r="M17" s="53" t="s">
        <v>25</v>
      </c>
    </row>
    <row r="18">
      <c r="D18" s="45" t="s">
        <v>159</v>
      </c>
      <c r="E18" s="45" t="s">
        <v>153</v>
      </c>
      <c r="F18" s="55" t="s">
        <v>143</v>
      </c>
      <c r="G18" s="47">
        <v>2.0</v>
      </c>
      <c r="H18" s="47">
        <v>1.0</v>
      </c>
      <c r="I18" s="47">
        <v>1300000.0</v>
      </c>
      <c r="J18" s="47">
        <f t="shared" si="2"/>
        <v>2600000</v>
      </c>
      <c r="K18" s="49">
        <v>2600000.0</v>
      </c>
      <c r="L18" s="15">
        <v>0.0</v>
      </c>
      <c r="M18" s="53" t="s">
        <v>25</v>
      </c>
    </row>
    <row r="19">
      <c r="B19" s="54" t="s">
        <v>160</v>
      </c>
      <c r="C19" s="54" t="s">
        <v>161</v>
      </c>
    </row>
    <row r="20">
      <c r="C20" s="5" t="s">
        <v>163</v>
      </c>
      <c r="D20" s="5" t="s">
        <v>70</v>
      </c>
      <c r="E20" s="45" t="s">
        <v>111</v>
      </c>
      <c r="F20" s="45" t="s">
        <v>162</v>
      </c>
      <c r="G20" s="47">
        <v>24.0</v>
      </c>
      <c r="H20" s="47">
        <v>1.0</v>
      </c>
      <c r="I20" s="47">
        <v>120000.0</v>
      </c>
      <c r="J20" s="32">
        <f t="shared" ref="J20:J29" si="3">G20*H20*I20</f>
        <v>2880000</v>
      </c>
      <c r="K20" s="49">
        <v>2880000.0</v>
      </c>
      <c r="L20" s="15">
        <v>0.0</v>
      </c>
      <c r="M20" s="53" t="s">
        <v>25</v>
      </c>
    </row>
    <row r="21">
      <c r="C21" s="5" t="s">
        <v>189</v>
      </c>
      <c r="D21" s="45" t="s">
        <v>79</v>
      </c>
      <c r="E21" s="45" t="s">
        <v>111</v>
      </c>
      <c r="F21" s="45" t="s">
        <v>162</v>
      </c>
      <c r="G21" s="47">
        <v>24.0</v>
      </c>
      <c r="H21" s="47">
        <v>1.0</v>
      </c>
      <c r="I21" s="47">
        <v>125000.0</v>
      </c>
      <c r="J21" s="47">
        <f t="shared" si="3"/>
        <v>3000000</v>
      </c>
      <c r="K21" s="49">
        <v>3000000.0</v>
      </c>
      <c r="L21" s="15">
        <v>0.0</v>
      </c>
      <c r="M21" s="53" t="s">
        <v>25</v>
      </c>
    </row>
    <row r="22">
      <c r="C22" s="5" t="s">
        <v>190</v>
      </c>
      <c r="D22" s="45" t="s">
        <v>86</v>
      </c>
      <c r="E22" s="45" t="s">
        <v>111</v>
      </c>
      <c r="F22" s="45" t="s">
        <v>162</v>
      </c>
      <c r="G22" s="47">
        <v>24.0</v>
      </c>
      <c r="H22" s="47">
        <v>1.0</v>
      </c>
      <c r="I22" s="47">
        <v>115000.0</v>
      </c>
      <c r="J22" s="47">
        <f t="shared" si="3"/>
        <v>2760000</v>
      </c>
      <c r="K22" s="49">
        <v>2760000.0</v>
      </c>
      <c r="L22" s="15">
        <v>0.0</v>
      </c>
      <c r="M22" s="53" t="s">
        <v>25</v>
      </c>
    </row>
    <row r="23">
      <c r="C23" s="5" t="s">
        <v>191</v>
      </c>
      <c r="D23" s="45" t="s">
        <v>87</v>
      </c>
      <c r="E23" s="45" t="s">
        <v>111</v>
      </c>
      <c r="F23" s="45" t="s">
        <v>162</v>
      </c>
      <c r="G23" s="47">
        <v>24.0</v>
      </c>
      <c r="H23" s="47">
        <v>1.0</v>
      </c>
      <c r="I23" s="47">
        <v>130000.0</v>
      </c>
      <c r="J23" s="47">
        <f t="shared" si="3"/>
        <v>3120000</v>
      </c>
      <c r="K23" s="49">
        <v>3120000.0</v>
      </c>
      <c r="L23" s="15">
        <v>0.0</v>
      </c>
      <c r="M23" s="53" t="s">
        <v>25</v>
      </c>
    </row>
    <row r="24">
      <c r="C24" s="5" t="s">
        <v>192</v>
      </c>
      <c r="D24" s="45" t="s">
        <v>88</v>
      </c>
      <c r="E24" s="45" t="s">
        <v>111</v>
      </c>
      <c r="F24" s="45" t="s">
        <v>162</v>
      </c>
      <c r="G24" s="47">
        <v>24.0</v>
      </c>
      <c r="H24" s="47">
        <v>1.0</v>
      </c>
      <c r="I24" s="47">
        <v>135000.0</v>
      </c>
      <c r="J24" s="47">
        <f t="shared" si="3"/>
        <v>3240000</v>
      </c>
      <c r="K24" s="49">
        <v>3240000.0</v>
      </c>
      <c r="L24" s="15">
        <v>0.0</v>
      </c>
      <c r="M24" s="53" t="s">
        <v>25</v>
      </c>
    </row>
    <row r="25">
      <c r="C25" s="5" t="s">
        <v>193</v>
      </c>
      <c r="D25" s="45" t="s">
        <v>89</v>
      </c>
      <c r="E25" s="45" t="s">
        <v>111</v>
      </c>
      <c r="F25" s="45" t="s">
        <v>162</v>
      </c>
      <c r="G25" s="47">
        <v>24.0</v>
      </c>
      <c r="H25" s="47">
        <v>1.0</v>
      </c>
      <c r="I25" s="47">
        <v>124000.0</v>
      </c>
      <c r="J25" s="47">
        <f t="shared" si="3"/>
        <v>2976000</v>
      </c>
      <c r="K25" s="49">
        <v>2976000.0</v>
      </c>
      <c r="L25" s="15">
        <v>0.0</v>
      </c>
      <c r="M25" s="53" t="s">
        <v>25</v>
      </c>
    </row>
    <row r="26">
      <c r="C26" s="5" t="s">
        <v>194</v>
      </c>
      <c r="D26" s="45" t="s">
        <v>90</v>
      </c>
      <c r="E26" s="45" t="s">
        <v>111</v>
      </c>
      <c r="F26" s="45" t="s">
        <v>162</v>
      </c>
      <c r="G26" s="47">
        <v>24.0</v>
      </c>
      <c r="H26" s="47">
        <v>1.0</v>
      </c>
      <c r="I26" s="47">
        <v>127000.0</v>
      </c>
      <c r="J26" s="47">
        <f t="shared" si="3"/>
        <v>3048000</v>
      </c>
      <c r="K26" s="49">
        <v>3048000.0</v>
      </c>
      <c r="L26" s="15">
        <v>0.0</v>
      </c>
      <c r="M26" s="53" t="s">
        <v>25</v>
      </c>
    </row>
    <row r="27">
      <c r="C27" s="5" t="s">
        <v>195</v>
      </c>
      <c r="D27" s="45" t="s">
        <v>196</v>
      </c>
      <c r="E27" s="45" t="s">
        <v>111</v>
      </c>
      <c r="F27" s="45" t="s">
        <v>162</v>
      </c>
      <c r="G27" s="47">
        <v>24.0</v>
      </c>
      <c r="H27" s="47">
        <v>1.0</v>
      </c>
      <c r="I27" s="47">
        <v>132000.0</v>
      </c>
      <c r="J27" s="47">
        <f t="shared" si="3"/>
        <v>3168000</v>
      </c>
      <c r="K27" s="49">
        <v>3168000.0</v>
      </c>
      <c r="L27" s="15">
        <v>0.0</v>
      </c>
      <c r="M27" s="53" t="s">
        <v>25</v>
      </c>
    </row>
    <row r="28">
      <c r="C28" s="5" t="s">
        <v>197</v>
      </c>
      <c r="D28" s="45" t="s">
        <v>198</v>
      </c>
      <c r="E28" s="45" t="s">
        <v>111</v>
      </c>
      <c r="F28" s="45" t="s">
        <v>162</v>
      </c>
      <c r="G28" s="47">
        <v>24.0</v>
      </c>
      <c r="H28" s="47">
        <v>1.0</v>
      </c>
      <c r="I28" s="47">
        <v>140000.0</v>
      </c>
      <c r="J28" s="47">
        <f t="shared" si="3"/>
        <v>3360000</v>
      </c>
      <c r="K28" s="49">
        <v>3360000.0</v>
      </c>
      <c r="L28" s="15">
        <v>0.0</v>
      </c>
      <c r="M28" s="53" t="s">
        <v>25</v>
      </c>
    </row>
    <row r="29">
      <c r="C29" s="5" t="s">
        <v>199</v>
      </c>
      <c r="D29" s="45" t="s">
        <v>200</v>
      </c>
      <c r="E29" s="45" t="s">
        <v>111</v>
      </c>
      <c r="F29" s="45" t="s">
        <v>162</v>
      </c>
      <c r="G29" s="47">
        <v>24.0</v>
      </c>
      <c r="H29" s="47">
        <v>1.0</v>
      </c>
      <c r="I29" s="47">
        <v>135000.0</v>
      </c>
      <c r="J29" s="47">
        <f t="shared" si="3"/>
        <v>3240000</v>
      </c>
      <c r="K29" s="49">
        <v>3240000.0</v>
      </c>
      <c r="L29" s="15">
        <v>0.0</v>
      </c>
      <c r="M29" s="53" t="s">
        <v>25</v>
      </c>
    </row>
    <row r="30">
      <c r="B30" s="54" t="s">
        <v>168</v>
      </c>
      <c r="C30" s="54" t="s">
        <v>169</v>
      </c>
    </row>
    <row r="31">
      <c r="C31" s="5" t="s">
        <v>23</v>
      </c>
      <c r="D31" s="56" t="s">
        <v>170</v>
      </c>
      <c r="E31" s="45" t="s">
        <v>111</v>
      </c>
      <c r="F31" s="45" t="s">
        <v>162</v>
      </c>
      <c r="G31" s="47">
        <v>24.0</v>
      </c>
      <c r="H31" s="47">
        <v>1.0</v>
      </c>
      <c r="I31" s="47">
        <v>250000.0</v>
      </c>
      <c r="J31" s="47">
        <f t="shared" ref="J31:J37" si="4">G31*H31*I31</f>
        <v>6000000</v>
      </c>
      <c r="K31" s="49">
        <v>6000000.0</v>
      </c>
      <c r="L31" s="15">
        <v>0.0</v>
      </c>
      <c r="M31" s="53" t="s">
        <v>25</v>
      </c>
    </row>
    <row r="32">
      <c r="C32" s="5" t="s">
        <v>201</v>
      </c>
      <c r="D32" s="56" t="s">
        <v>171</v>
      </c>
      <c r="E32" s="45" t="s">
        <v>111</v>
      </c>
      <c r="F32" s="45" t="s">
        <v>33</v>
      </c>
      <c r="G32" s="47">
        <v>18.0</v>
      </c>
      <c r="H32" s="47">
        <v>1.0</v>
      </c>
      <c r="I32" s="47">
        <v>120000.0</v>
      </c>
      <c r="J32" s="47">
        <f t="shared" si="4"/>
        <v>2160000</v>
      </c>
      <c r="K32" s="49">
        <v>2160000.0</v>
      </c>
      <c r="L32" s="15">
        <v>0.0</v>
      </c>
      <c r="M32" s="53" t="s">
        <v>25</v>
      </c>
    </row>
    <row r="33">
      <c r="C33" s="5" t="s">
        <v>202</v>
      </c>
      <c r="E33" s="45" t="s">
        <v>111</v>
      </c>
      <c r="F33" s="45" t="s">
        <v>34</v>
      </c>
      <c r="G33" s="47">
        <v>6.0</v>
      </c>
      <c r="H33" s="47">
        <v>1.0</v>
      </c>
      <c r="I33" s="47">
        <v>100000.0</v>
      </c>
      <c r="J33" s="47">
        <f t="shared" si="4"/>
        <v>600000</v>
      </c>
      <c r="K33" s="49">
        <v>600000.0</v>
      </c>
      <c r="L33" s="15">
        <v>0.0</v>
      </c>
      <c r="M33" s="53" t="s">
        <v>25</v>
      </c>
    </row>
    <row r="34">
      <c r="C34" s="5" t="s">
        <v>83</v>
      </c>
      <c r="D34" s="56" t="s">
        <v>172</v>
      </c>
      <c r="E34" s="45" t="s">
        <v>111</v>
      </c>
      <c r="F34" s="45" t="s">
        <v>162</v>
      </c>
      <c r="G34" s="47">
        <v>24.0</v>
      </c>
      <c r="H34" s="47">
        <v>1.0</v>
      </c>
      <c r="I34" s="47">
        <v>145000.0</v>
      </c>
      <c r="J34" s="47">
        <f t="shared" si="4"/>
        <v>3480000</v>
      </c>
      <c r="K34" s="49">
        <v>3480000.0</v>
      </c>
      <c r="L34" s="15">
        <v>0.0</v>
      </c>
      <c r="M34" s="53" t="s">
        <v>25</v>
      </c>
    </row>
    <row r="35">
      <c r="C35" s="5" t="s">
        <v>203</v>
      </c>
      <c r="D35" s="56" t="s">
        <v>172</v>
      </c>
      <c r="E35" s="45" t="s">
        <v>111</v>
      </c>
      <c r="F35" s="45" t="s">
        <v>162</v>
      </c>
      <c r="G35" s="47">
        <v>24.0</v>
      </c>
      <c r="H35" s="47">
        <v>1.0</v>
      </c>
      <c r="I35" s="47">
        <v>145000.0</v>
      </c>
      <c r="J35" s="47">
        <f t="shared" si="4"/>
        <v>3480000</v>
      </c>
      <c r="K35" s="49">
        <v>3480000.0</v>
      </c>
      <c r="L35" s="15">
        <v>0.0</v>
      </c>
      <c r="M35" s="53" t="s">
        <v>25</v>
      </c>
    </row>
    <row r="36">
      <c r="C36" s="5" t="s">
        <v>204</v>
      </c>
      <c r="D36" s="56" t="s">
        <v>173</v>
      </c>
      <c r="E36" s="45" t="s">
        <v>111</v>
      </c>
      <c r="F36" s="45" t="s">
        <v>162</v>
      </c>
      <c r="G36" s="47">
        <v>24.0</v>
      </c>
      <c r="H36" s="47">
        <v>1.0</v>
      </c>
      <c r="I36" s="47">
        <v>145000.0</v>
      </c>
      <c r="J36" s="47">
        <f t="shared" si="4"/>
        <v>3480000</v>
      </c>
      <c r="K36" s="49">
        <v>3480000.0</v>
      </c>
      <c r="L36" s="15">
        <v>0.0</v>
      </c>
      <c r="M36" s="53" t="s">
        <v>25</v>
      </c>
    </row>
    <row r="37">
      <c r="C37" s="5" t="s">
        <v>205</v>
      </c>
      <c r="D37" s="56" t="s">
        <v>174</v>
      </c>
      <c r="E37" s="45" t="s">
        <v>111</v>
      </c>
      <c r="F37" s="45" t="s">
        <v>162</v>
      </c>
      <c r="G37" s="47">
        <v>24.0</v>
      </c>
      <c r="H37" s="47">
        <v>1.0</v>
      </c>
      <c r="I37" s="47">
        <v>145000.0</v>
      </c>
      <c r="J37" s="47">
        <f t="shared" si="4"/>
        <v>3480000</v>
      </c>
      <c r="K37" s="49">
        <v>3480000.0</v>
      </c>
      <c r="L37" s="15">
        <v>0.0</v>
      </c>
      <c r="M37" s="53" t="s">
        <v>25</v>
      </c>
    </row>
    <row r="38">
      <c r="B38" s="54" t="s">
        <v>175</v>
      </c>
      <c r="C38" s="54" t="s">
        <v>176</v>
      </c>
    </row>
    <row r="39">
      <c r="C39" s="5" t="s">
        <v>206</v>
      </c>
      <c r="D39" s="5" t="s">
        <v>176</v>
      </c>
      <c r="E39" s="45" t="s">
        <v>111</v>
      </c>
      <c r="F39" s="55" t="s">
        <v>143</v>
      </c>
      <c r="G39" s="47">
        <v>1.0</v>
      </c>
      <c r="H39" s="47">
        <v>4.0</v>
      </c>
      <c r="I39" s="47">
        <v>400000.0</v>
      </c>
      <c r="J39" s="47">
        <f>G39*H39*I39</f>
        <v>1600000</v>
      </c>
      <c r="K39" s="49">
        <v>1600000.0</v>
      </c>
      <c r="L39" s="15">
        <v>0.0</v>
      </c>
      <c r="M39" s="53" t="s">
        <v>25</v>
      </c>
    </row>
    <row r="40">
      <c r="B40" s="54" t="s">
        <v>177</v>
      </c>
      <c r="C40" s="54" t="s">
        <v>178</v>
      </c>
    </row>
    <row r="41">
      <c r="C41" s="5" t="s">
        <v>207</v>
      </c>
      <c r="D41" s="5" t="s">
        <v>110</v>
      </c>
      <c r="E41" s="45" t="s">
        <v>111</v>
      </c>
      <c r="F41" s="45" t="s">
        <v>162</v>
      </c>
      <c r="G41" s="47">
        <v>24.0</v>
      </c>
      <c r="H41" s="47">
        <v>2.0</v>
      </c>
      <c r="I41" s="47">
        <v>200000.0</v>
      </c>
      <c r="J41" s="47">
        <f>G41*H41*I41</f>
        <v>9600000</v>
      </c>
      <c r="K41" s="49">
        <v>9600000.0</v>
      </c>
      <c r="L41" s="15">
        <v>0.0</v>
      </c>
      <c r="M41" s="53" t="s">
        <v>25</v>
      </c>
    </row>
    <row r="42">
      <c r="B42" s="57"/>
      <c r="C42" s="57"/>
      <c r="D42" s="57"/>
      <c r="E42" s="57"/>
      <c r="F42" s="57"/>
      <c r="G42" s="57"/>
      <c r="H42" s="57"/>
      <c r="I42" s="57"/>
      <c r="J42" s="33" t="s">
        <v>208</v>
      </c>
      <c r="K42" s="58" t="s">
        <v>135</v>
      </c>
      <c r="L42" s="59" t="s">
        <v>209</v>
      </c>
      <c r="M42" s="57"/>
    </row>
    <row r="43">
      <c r="K43" s="49"/>
    </row>
    <row r="44">
      <c r="K44" s="49"/>
    </row>
    <row r="45">
      <c r="K45" s="49"/>
    </row>
    <row r="46">
      <c r="K46" s="49"/>
    </row>
    <row r="47">
      <c r="K47" s="49"/>
    </row>
    <row r="48">
      <c r="K48" s="49"/>
    </row>
    <row r="49">
      <c r="K49" s="49"/>
    </row>
    <row r="50">
      <c r="K50" s="49"/>
    </row>
    <row r="51">
      <c r="K51" s="49"/>
    </row>
    <row r="52">
      <c r="K52" s="49"/>
    </row>
    <row r="53">
      <c r="K53" s="49"/>
    </row>
    <row r="54">
      <c r="K54" s="49"/>
    </row>
    <row r="55">
      <c r="K55" s="49"/>
    </row>
    <row r="56">
      <c r="K56" s="49"/>
    </row>
    <row r="57">
      <c r="K57" s="49"/>
    </row>
    <row r="58">
      <c r="K58" s="49"/>
    </row>
    <row r="59">
      <c r="K59" s="49"/>
    </row>
    <row r="60">
      <c r="K60" s="49"/>
    </row>
    <row r="61">
      <c r="K61" s="49"/>
    </row>
    <row r="62">
      <c r="K62" s="49"/>
    </row>
    <row r="63">
      <c r="K63" s="49"/>
    </row>
    <row r="64">
      <c r="K64" s="49"/>
    </row>
    <row r="65">
      <c r="K65" s="49"/>
    </row>
    <row r="66">
      <c r="K66" s="49"/>
    </row>
    <row r="67">
      <c r="K67" s="49"/>
    </row>
    <row r="68">
      <c r="K68" s="49"/>
    </row>
    <row r="69">
      <c r="K69" s="49"/>
    </row>
    <row r="70">
      <c r="K70" s="49"/>
    </row>
    <row r="71">
      <c r="K71" s="49"/>
    </row>
    <row r="72">
      <c r="K72" s="49"/>
    </row>
    <row r="73">
      <c r="K73" s="49"/>
    </row>
    <row r="74">
      <c r="K74" s="49"/>
    </row>
    <row r="75">
      <c r="K75" s="49"/>
    </row>
    <row r="76">
      <c r="K76" s="49"/>
    </row>
    <row r="77">
      <c r="K77" s="49"/>
    </row>
    <row r="78">
      <c r="K78" s="49"/>
    </row>
    <row r="79">
      <c r="K79" s="49"/>
    </row>
    <row r="80">
      <c r="K80" s="49"/>
    </row>
    <row r="81">
      <c r="K81" s="49"/>
    </row>
    <row r="82">
      <c r="K82" s="49"/>
    </row>
    <row r="83">
      <c r="K83" s="49"/>
    </row>
    <row r="84">
      <c r="K84" s="49"/>
    </row>
    <row r="85">
      <c r="K85" s="49"/>
    </row>
    <row r="86">
      <c r="K86" s="49"/>
    </row>
    <row r="87">
      <c r="K87" s="49"/>
    </row>
    <row r="88">
      <c r="K88" s="49"/>
    </row>
    <row r="89">
      <c r="K89" s="49"/>
    </row>
    <row r="90">
      <c r="K90" s="49"/>
    </row>
    <row r="91">
      <c r="K91" s="49"/>
    </row>
    <row r="92">
      <c r="K92" s="49"/>
    </row>
    <row r="93">
      <c r="K93" s="49"/>
    </row>
    <row r="94">
      <c r="K94" s="49"/>
    </row>
    <row r="95">
      <c r="K95" s="49"/>
    </row>
    <row r="96">
      <c r="K96" s="49"/>
    </row>
    <row r="97">
      <c r="K97" s="49"/>
    </row>
    <row r="98">
      <c r="K98" s="49"/>
    </row>
    <row r="99">
      <c r="K99" s="49"/>
    </row>
    <row r="100">
      <c r="K100" s="49"/>
    </row>
    <row r="101">
      <c r="K101" s="49"/>
    </row>
    <row r="102">
      <c r="K102" s="49"/>
    </row>
    <row r="103">
      <c r="K103" s="49"/>
    </row>
    <row r="104">
      <c r="K104" s="49"/>
    </row>
    <row r="105">
      <c r="K105" s="49"/>
    </row>
    <row r="106">
      <c r="K106" s="49"/>
    </row>
    <row r="107">
      <c r="K107" s="49"/>
    </row>
    <row r="108">
      <c r="K108" s="49"/>
    </row>
    <row r="109">
      <c r="K109" s="49"/>
    </row>
    <row r="110">
      <c r="K110" s="49"/>
    </row>
    <row r="111">
      <c r="K111" s="49"/>
    </row>
    <row r="112">
      <c r="K112" s="49"/>
    </row>
    <row r="113">
      <c r="K113" s="49"/>
    </row>
    <row r="114">
      <c r="K114" s="49"/>
    </row>
    <row r="115">
      <c r="K115" s="49"/>
    </row>
    <row r="116">
      <c r="K116" s="49"/>
    </row>
    <row r="117">
      <c r="K117" s="49"/>
    </row>
    <row r="118">
      <c r="K118" s="49"/>
    </row>
    <row r="119">
      <c r="K119" s="49"/>
    </row>
    <row r="120">
      <c r="K120" s="49"/>
    </row>
    <row r="121">
      <c r="K121" s="49"/>
    </row>
    <row r="122">
      <c r="K122" s="49"/>
    </row>
    <row r="123">
      <c r="K123" s="49"/>
    </row>
    <row r="124">
      <c r="K124" s="49"/>
    </row>
    <row r="125">
      <c r="K125" s="49"/>
    </row>
    <row r="126">
      <c r="K126" s="49"/>
    </row>
    <row r="127">
      <c r="K127" s="49"/>
    </row>
    <row r="128">
      <c r="K128" s="49"/>
    </row>
    <row r="129">
      <c r="K129" s="49"/>
    </row>
    <row r="130">
      <c r="K130" s="49"/>
    </row>
    <row r="131">
      <c r="K131" s="49"/>
    </row>
    <row r="132">
      <c r="K132" s="49"/>
    </row>
    <row r="133">
      <c r="K133" s="49"/>
    </row>
    <row r="134">
      <c r="K134" s="49"/>
    </row>
    <row r="135">
      <c r="K135" s="49"/>
    </row>
    <row r="136">
      <c r="K136" s="49"/>
    </row>
    <row r="137">
      <c r="K137" s="49"/>
    </row>
    <row r="138">
      <c r="K138" s="49"/>
    </row>
    <row r="139">
      <c r="K139" s="49"/>
    </row>
    <row r="140">
      <c r="K140" s="49"/>
    </row>
    <row r="141">
      <c r="K141" s="49"/>
    </row>
    <row r="142">
      <c r="K142" s="49"/>
    </row>
    <row r="143">
      <c r="K143" s="49"/>
    </row>
    <row r="144">
      <c r="K144" s="49"/>
    </row>
    <row r="145">
      <c r="K145" s="49"/>
    </row>
    <row r="146">
      <c r="K146" s="49"/>
    </row>
    <row r="147">
      <c r="K147" s="49"/>
    </row>
    <row r="148">
      <c r="K148" s="49"/>
    </row>
    <row r="149">
      <c r="K149" s="49"/>
    </row>
    <row r="150">
      <c r="K150" s="49"/>
    </row>
    <row r="151">
      <c r="K151" s="49"/>
    </row>
    <row r="152">
      <c r="K152" s="49"/>
    </row>
    <row r="153">
      <c r="K153" s="49"/>
    </row>
    <row r="154">
      <c r="K154" s="49"/>
    </row>
    <row r="155">
      <c r="K155" s="49"/>
    </row>
    <row r="156">
      <c r="K156" s="49"/>
    </row>
    <row r="157">
      <c r="K157" s="49"/>
    </row>
    <row r="158">
      <c r="K158" s="49"/>
    </row>
    <row r="159">
      <c r="K159" s="49"/>
    </row>
    <row r="160">
      <c r="K160" s="49"/>
    </row>
    <row r="161">
      <c r="K161" s="49"/>
    </row>
    <row r="162">
      <c r="K162" s="49"/>
    </row>
    <row r="163">
      <c r="K163" s="49"/>
    </row>
    <row r="164">
      <c r="K164" s="49"/>
    </row>
    <row r="165">
      <c r="K165" s="49"/>
    </row>
    <row r="166">
      <c r="K166" s="49"/>
    </row>
    <row r="167">
      <c r="K167" s="49"/>
    </row>
    <row r="168">
      <c r="K168" s="49"/>
    </row>
    <row r="169">
      <c r="K169" s="49"/>
    </row>
    <row r="170">
      <c r="K170" s="49"/>
    </row>
    <row r="171">
      <c r="K171" s="49"/>
    </row>
    <row r="172">
      <c r="K172" s="49"/>
    </row>
    <row r="173">
      <c r="K173" s="49"/>
    </row>
    <row r="174">
      <c r="K174" s="49"/>
    </row>
    <row r="175">
      <c r="K175" s="49"/>
    </row>
    <row r="176">
      <c r="K176" s="49"/>
    </row>
    <row r="177">
      <c r="K177" s="49"/>
    </row>
    <row r="178">
      <c r="K178" s="49"/>
    </row>
    <row r="179">
      <c r="K179" s="49"/>
    </row>
    <row r="180">
      <c r="K180" s="49"/>
    </row>
    <row r="181">
      <c r="K181" s="49"/>
    </row>
    <row r="182">
      <c r="K182" s="49"/>
    </row>
    <row r="183">
      <c r="K183" s="49"/>
    </row>
    <row r="184">
      <c r="K184" s="49"/>
    </row>
    <row r="185">
      <c r="K185" s="49"/>
    </row>
    <row r="186">
      <c r="K186" s="49"/>
    </row>
    <row r="187">
      <c r="K187" s="49"/>
    </row>
    <row r="188">
      <c r="K188" s="49"/>
    </row>
    <row r="189">
      <c r="K189" s="49"/>
    </row>
    <row r="190">
      <c r="K190" s="49"/>
    </row>
    <row r="191">
      <c r="K191" s="49"/>
    </row>
    <row r="192">
      <c r="K192" s="49"/>
    </row>
    <row r="193">
      <c r="K193" s="49"/>
    </row>
    <row r="194">
      <c r="K194" s="49"/>
    </row>
    <row r="195">
      <c r="K195" s="49"/>
    </row>
    <row r="196">
      <c r="K196" s="49"/>
    </row>
    <row r="197">
      <c r="K197" s="49"/>
    </row>
    <row r="198">
      <c r="K198" s="49"/>
    </row>
    <row r="199">
      <c r="K199" s="49"/>
    </row>
    <row r="200">
      <c r="K200" s="49"/>
    </row>
    <row r="201">
      <c r="K201" s="49"/>
    </row>
    <row r="202">
      <c r="K202" s="49"/>
    </row>
    <row r="203">
      <c r="K203" s="49"/>
    </row>
    <row r="204">
      <c r="K204" s="49"/>
    </row>
    <row r="205">
      <c r="K205" s="49"/>
    </row>
    <row r="206">
      <c r="K206" s="49"/>
    </row>
    <row r="207">
      <c r="K207" s="49"/>
    </row>
    <row r="208">
      <c r="K208" s="49"/>
    </row>
    <row r="209">
      <c r="K209" s="49"/>
    </row>
    <row r="210">
      <c r="K210" s="49"/>
    </row>
    <row r="211">
      <c r="K211" s="49"/>
    </row>
    <row r="212">
      <c r="K212" s="49"/>
    </row>
    <row r="213">
      <c r="K213" s="49"/>
    </row>
    <row r="214">
      <c r="K214" s="49"/>
    </row>
    <row r="215">
      <c r="K215" s="49"/>
    </row>
    <row r="216">
      <c r="K216" s="49"/>
    </row>
    <row r="217">
      <c r="K217" s="49"/>
    </row>
    <row r="218">
      <c r="K218" s="49"/>
    </row>
    <row r="219">
      <c r="K219" s="49"/>
    </row>
    <row r="220">
      <c r="K220" s="49"/>
    </row>
    <row r="221">
      <c r="K221" s="49"/>
    </row>
    <row r="222">
      <c r="K222" s="49"/>
    </row>
    <row r="223">
      <c r="K223" s="49"/>
    </row>
    <row r="224">
      <c r="K224" s="49"/>
    </row>
    <row r="225">
      <c r="K225" s="49"/>
    </row>
    <row r="226">
      <c r="K226" s="49"/>
    </row>
    <row r="227">
      <c r="K227" s="49"/>
    </row>
    <row r="228">
      <c r="K228" s="49"/>
    </row>
    <row r="229">
      <c r="K229" s="49"/>
    </row>
    <row r="230">
      <c r="K230" s="49"/>
    </row>
    <row r="231">
      <c r="K231" s="49"/>
    </row>
    <row r="232">
      <c r="K232" s="49"/>
    </row>
    <row r="233">
      <c r="K233" s="49"/>
    </row>
    <row r="234">
      <c r="K234" s="49"/>
    </row>
    <row r="235">
      <c r="K235" s="49"/>
    </row>
    <row r="236">
      <c r="K236" s="49"/>
    </row>
    <row r="237">
      <c r="K237" s="49"/>
    </row>
    <row r="238">
      <c r="K238" s="49"/>
    </row>
    <row r="239">
      <c r="K239" s="49"/>
    </row>
    <row r="240">
      <c r="K240" s="49"/>
    </row>
    <row r="241">
      <c r="K241" s="49"/>
    </row>
    <row r="242">
      <c r="K242" s="49"/>
    </row>
    <row r="243">
      <c r="K243" s="49"/>
    </row>
    <row r="244">
      <c r="K244" s="49"/>
    </row>
    <row r="245">
      <c r="K245" s="49"/>
    </row>
    <row r="246">
      <c r="K246" s="49"/>
    </row>
    <row r="247">
      <c r="K247" s="49"/>
    </row>
    <row r="248">
      <c r="K248" s="49"/>
    </row>
    <row r="249">
      <c r="K249" s="49"/>
    </row>
    <row r="250">
      <c r="K250" s="49"/>
    </row>
    <row r="251">
      <c r="K251" s="49"/>
    </row>
    <row r="252">
      <c r="K252" s="49"/>
    </row>
    <row r="253">
      <c r="K253" s="49"/>
    </row>
    <row r="254">
      <c r="K254" s="49"/>
    </row>
    <row r="255">
      <c r="K255" s="49"/>
    </row>
    <row r="256">
      <c r="K256" s="49"/>
    </row>
    <row r="257">
      <c r="K257" s="49"/>
    </row>
    <row r="258">
      <c r="K258" s="49"/>
    </row>
    <row r="259">
      <c r="K259" s="49"/>
    </row>
    <row r="260">
      <c r="K260" s="49"/>
    </row>
    <row r="261">
      <c r="K261" s="49"/>
    </row>
    <row r="262">
      <c r="K262" s="49"/>
    </row>
    <row r="263">
      <c r="K263" s="49"/>
    </row>
    <row r="264">
      <c r="K264" s="49"/>
    </row>
    <row r="265">
      <c r="K265" s="49"/>
    </row>
    <row r="266">
      <c r="K266" s="49"/>
    </row>
    <row r="267">
      <c r="K267" s="49"/>
    </row>
    <row r="268">
      <c r="K268" s="49"/>
    </row>
    <row r="269">
      <c r="K269" s="49"/>
    </row>
    <row r="270">
      <c r="K270" s="49"/>
    </row>
    <row r="271">
      <c r="K271" s="49"/>
    </row>
    <row r="272">
      <c r="K272" s="49"/>
    </row>
    <row r="273">
      <c r="K273" s="49"/>
    </row>
    <row r="274">
      <c r="K274" s="49"/>
    </row>
    <row r="275">
      <c r="K275" s="49"/>
    </row>
    <row r="276">
      <c r="K276" s="49"/>
    </row>
    <row r="277">
      <c r="K277" s="49"/>
    </row>
    <row r="278">
      <c r="K278" s="49"/>
    </row>
    <row r="279">
      <c r="K279" s="49"/>
    </row>
    <row r="280">
      <c r="K280" s="49"/>
    </row>
    <row r="281">
      <c r="K281" s="49"/>
    </row>
    <row r="282">
      <c r="K282" s="49"/>
    </row>
    <row r="283">
      <c r="K283" s="49"/>
    </row>
    <row r="284">
      <c r="K284" s="49"/>
    </row>
    <row r="285">
      <c r="K285" s="49"/>
    </row>
    <row r="286">
      <c r="K286" s="49"/>
    </row>
    <row r="287">
      <c r="K287" s="49"/>
    </row>
    <row r="288">
      <c r="K288" s="49"/>
    </row>
    <row r="289">
      <c r="K289" s="49"/>
    </row>
    <row r="290">
      <c r="K290" s="49"/>
    </row>
    <row r="291">
      <c r="K291" s="49"/>
    </row>
    <row r="292">
      <c r="K292" s="49"/>
    </row>
    <row r="293">
      <c r="K293" s="49"/>
    </row>
    <row r="294">
      <c r="K294" s="49"/>
    </row>
    <row r="295">
      <c r="K295" s="49"/>
    </row>
    <row r="296">
      <c r="K296" s="49"/>
    </row>
    <row r="297">
      <c r="K297" s="49"/>
    </row>
    <row r="298">
      <c r="K298" s="49"/>
    </row>
    <row r="299">
      <c r="K299" s="49"/>
    </row>
    <row r="300">
      <c r="K300" s="49"/>
    </row>
    <row r="301">
      <c r="K301" s="49"/>
    </row>
    <row r="302">
      <c r="K302" s="49"/>
    </row>
    <row r="303">
      <c r="K303" s="49"/>
    </row>
    <row r="304">
      <c r="K304" s="49"/>
    </row>
    <row r="305">
      <c r="K305" s="49"/>
    </row>
    <row r="306">
      <c r="K306" s="49"/>
    </row>
    <row r="307">
      <c r="K307" s="49"/>
    </row>
    <row r="308">
      <c r="K308" s="49"/>
    </row>
    <row r="309">
      <c r="K309" s="49"/>
    </row>
    <row r="310">
      <c r="K310" s="49"/>
    </row>
    <row r="311">
      <c r="K311" s="49"/>
    </row>
    <row r="312">
      <c r="K312" s="49"/>
    </row>
    <row r="313">
      <c r="K313" s="49"/>
    </row>
    <row r="314">
      <c r="K314" s="49"/>
    </row>
    <row r="315">
      <c r="K315" s="49"/>
    </row>
    <row r="316">
      <c r="K316" s="49"/>
    </row>
    <row r="317">
      <c r="K317" s="49"/>
    </row>
    <row r="318">
      <c r="K318" s="49"/>
    </row>
    <row r="319">
      <c r="K319" s="49"/>
    </row>
    <row r="320">
      <c r="K320" s="49"/>
    </row>
    <row r="321">
      <c r="K321" s="49"/>
    </row>
    <row r="322">
      <c r="K322" s="49"/>
    </row>
    <row r="323">
      <c r="K323" s="49"/>
    </row>
    <row r="324">
      <c r="K324" s="49"/>
    </row>
    <row r="325">
      <c r="K325" s="49"/>
    </row>
    <row r="326">
      <c r="K326" s="49"/>
    </row>
    <row r="327">
      <c r="K327" s="49"/>
    </row>
    <row r="328">
      <c r="K328" s="49"/>
    </row>
    <row r="329">
      <c r="K329" s="49"/>
    </row>
    <row r="330">
      <c r="K330" s="49"/>
    </row>
    <row r="331">
      <c r="K331" s="49"/>
    </row>
    <row r="332">
      <c r="K332" s="49"/>
    </row>
    <row r="333">
      <c r="K333" s="49"/>
    </row>
    <row r="334">
      <c r="K334" s="49"/>
    </row>
    <row r="335">
      <c r="K335" s="49"/>
    </row>
    <row r="336">
      <c r="K336" s="49"/>
    </row>
    <row r="337">
      <c r="K337" s="49"/>
    </row>
    <row r="338">
      <c r="K338" s="49"/>
    </row>
    <row r="339">
      <c r="K339" s="49"/>
    </row>
    <row r="340">
      <c r="K340" s="49"/>
    </row>
    <row r="341">
      <c r="K341" s="49"/>
    </row>
    <row r="342">
      <c r="K342" s="49"/>
    </row>
    <row r="343">
      <c r="K343" s="49"/>
    </row>
    <row r="344">
      <c r="K344" s="49"/>
    </row>
    <row r="345">
      <c r="K345" s="49"/>
    </row>
    <row r="346">
      <c r="K346" s="49"/>
    </row>
    <row r="347">
      <c r="K347" s="49"/>
    </row>
    <row r="348">
      <c r="K348" s="49"/>
    </row>
    <row r="349">
      <c r="K349" s="49"/>
    </row>
    <row r="350">
      <c r="K350" s="49"/>
    </row>
    <row r="351">
      <c r="K351" s="49"/>
    </row>
    <row r="352">
      <c r="K352" s="49"/>
    </row>
    <row r="353">
      <c r="K353" s="49"/>
    </row>
    <row r="354">
      <c r="K354" s="49"/>
    </row>
    <row r="355">
      <c r="K355" s="49"/>
    </row>
    <row r="356">
      <c r="K356" s="49"/>
    </row>
    <row r="357">
      <c r="K357" s="49"/>
    </row>
    <row r="358">
      <c r="K358" s="49"/>
    </row>
    <row r="359">
      <c r="K359" s="49"/>
    </row>
    <row r="360">
      <c r="K360" s="49"/>
    </row>
    <row r="361">
      <c r="K361" s="49"/>
    </row>
    <row r="362">
      <c r="K362" s="49"/>
    </row>
    <row r="363">
      <c r="K363" s="49"/>
    </row>
    <row r="364">
      <c r="K364" s="49"/>
    </row>
    <row r="365">
      <c r="K365" s="49"/>
    </row>
    <row r="366">
      <c r="K366" s="49"/>
    </row>
    <row r="367">
      <c r="K367" s="49"/>
    </row>
    <row r="368">
      <c r="K368" s="49"/>
    </row>
    <row r="369">
      <c r="K369" s="49"/>
    </row>
    <row r="370">
      <c r="K370" s="49"/>
    </row>
    <row r="371">
      <c r="K371" s="49"/>
    </row>
    <row r="372">
      <c r="K372" s="49"/>
    </row>
    <row r="373">
      <c r="K373" s="49"/>
    </row>
    <row r="374">
      <c r="K374" s="49"/>
    </row>
    <row r="375">
      <c r="K375" s="49"/>
    </row>
    <row r="376">
      <c r="K376" s="49"/>
    </row>
    <row r="377">
      <c r="K377" s="49"/>
    </row>
    <row r="378">
      <c r="K378" s="49"/>
    </row>
    <row r="379">
      <c r="K379" s="49"/>
    </row>
    <row r="380">
      <c r="K380" s="49"/>
    </row>
    <row r="381">
      <c r="K381" s="49"/>
    </row>
    <row r="382">
      <c r="K382" s="49"/>
    </row>
    <row r="383">
      <c r="K383" s="49"/>
    </row>
    <row r="384">
      <c r="K384" s="49"/>
    </row>
    <row r="385">
      <c r="K385" s="49"/>
    </row>
    <row r="386">
      <c r="K386" s="49"/>
    </row>
    <row r="387">
      <c r="K387" s="49"/>
    </row>
    <row r="388">
      <c r="K388" s="49"/>
    </row>
    <row r="389">
      <c r="K389" s="49"/>
    </row>
    <row r="390">
      <c r="K390" s="49"/>
    </row>
    <row r="391">
      <c r="K391" s="49"/>
    </row>
    <row r="392">
      <c r="K392" s="49"/>
    </row>
    <row r="393">
      <c r="K393" s="49"/>
    </row>
    <row r="394">
      <c r="K394" s="49"/>
    </row>
    <row r="395">
      <c r="K395" s="49"/>
    </row>
    <row r="396">
      <c r="K396" s="49"/>
    </row>
    <row r="397">
      <c r="K397" s="49"/>
    </row>
    <row r="398">
      <c r="K398" s="49"/>
    </row>
    <row r="399">
      <c r="K399" s="49"/>
    </row>
    <row r="400">
      <c r="K400" s="49"/>
    </row>
    <row r="401">
      <c r="K401" s="49"/>
    </row>
    <row r="402">
      <c r="K402" s="49"/>
    </row>
    <row r="403">
      <c r="K403" s="49"/>
    </row>
    <row r="404">
      <c r="K404" s="49"/>
    </row>
    <row r="405">
      <c r="K405" s="49"/>
    </row>
    <row r="406">
      <c r="K406" s="49"/>
    </row>
    <row r="407">
      <c r="K407" s="49"/>
    </row>
    <row r="408">
      <c r="K408" s="49"/>
    </row>
    <row r="409">
      <c r="K409" s="49"/>
    </row>
    <row r="410">
      <c r="K410" s="49"/>
    </row>
    <row r="411">
      <c r="K411" s="49"/>
    </row>
    <row r="412">
      <c r="K412" s="49"/>
    </row>
    <row r="413">
      <c r="K413" s="49"/>
    </row>
    <row r="414">
      <c r="K414" s="49"/>
    </row>
    <row r="415">
      <c r="K415" s="49"/>
    </row>
    <row r="416">
      <c r="K416" s="49"/>
    </row>
    <row r="417">
      <c r="K417" s="49"/>
    </row>
    <row r="418">
      <c r="K418" s="49"/>
    </row>
    <row r="419">
      <c r="K419" s="49"/>
    </row>
    <row r="420">
      <c r="K420" s="49"/>
    </row>
    <row r="421">
      <c r="K421" s="49"/>
    </row>
    <row r="422">
      <c r="K422" s="49"/>
    </row>
    <row r="423">
      <c r="K423" s="49"/>
    </row>
    <row r="424">
      <c r="K424" s="49"/>
    </row>
    <row r="425">
      <c r="K425" s="49"/>
    </row>
    <row r="426">
      <c r="K426" s="49"/>
    </row>
    <row r="427">
      <c r="K427" s="49"/>
    </row>
    <row r="428">
      <c r="K428" s="49"/>
    </row>
    <row r="429">
      <c r="K429" s="49"/>
    </row>
    <row r="430">
      <c r="K430" s="49"/>
    </row>
    <row r="431">
      <c r="K431" s="49"/>
    </row>
    <row r="432">
      <c r="K432" s="49"/>
    </row>
    <row r="433">
      <c r="K433" s="49"/>
    </row>
    <row r="434">
      <c r="K434" s="49"/>
    </row>
    <row r="435">
      <c r="K435" s="49"/>
    </row>
    <row r="436">
      <c r="K436" s="49"/>
    </row>
    <row r="437">
      <c r="K437" s="49"/>
    </row>
    <row r="438">
      <c r="K438" s="49"/>
    </row>
    <row r="439">
      <c r="K439" s="49"/>
    </row>
    <row r="440">
      <c r="K440" s="49"/>
    </row>
    <row r="441">
      <c r="K441" s="49"/>
    </row>
    <row r="442">
      <c r="K442" s="49"/>
    </row>
    <row r="443">
      <c r="K443" s="49"/>
    </row>
    <row r="444">
      <c r="K444" s="49"/>
    </row>
    <row r="445">
      <c r="K445" s="49"/>
    </row>
    <row r="446">
      <c r="K446" s="49"/>
    </row>
    <row r="447">
      <c r="K447" s="49"/>
    </row>
    <row r="448">
      <c r="K448" s="49"/>
    </row>
    <row r="449">
      <c r="K449" s="49"/>
    </row>
    <row r="450">
      <c r="K450" s="49"/>
    </row>
    <row r="451">
      <c r="K451" s="49"/>
    </row>
    <row r="452">
      <c r="K452" s="49"/>
    </row>
    <row r="453">
      <c r="K453" s="49"/>
    </row>
    <row r="454">
      <c r="K454" s="49"/>
    </row>
    <row r="455">
      <c r="K455" s="49"/>
    </row>
    <row r="456">
      <c r="K456" s="49"/>
    </row>
    <row r="457">
      <c r="K457" s="49"/>
    </row>
    <row r="458">
      <c r="K458" s="49"/>
    </row>
    <row r="459">
      <c r="K459" s="49"/>
    </row>
    <row r="460">
      <c r="K460" s="49"/>
    </row>
    <row r="461">
      <c r="K461" s="49"/>
    </row>
    <row r="462">
      <c r="K462" s="49"/>
    </row>
    <row r="463">
      <c r="K463" s="49"/>
    </row>
    <row r="464">
      <c r="K464" s="49"/>
    </row>
    <row r="465">
      <c r="K465" s="49"/>
    </row>
    <row r="466">
      <c r="K466" s="49"/>
    </row>
    <row r="467">
      <c r="K467" s="49"/>
    </row>
    <row r="468">
      <c r="K468" s="49"/>
    </row>
    <row r="469">
      <c r="K469" s="49"/>
    </row>
    <row r="470">
      <c r="K470" s="49"/>
    </row>
    <row r="471">
      <c r="K471" s="49"/>
    </row>
    <row r="472">
      <c r="K472" s="49"/>
    </row>
    <row r="473">
      <c r="K473" s="49"/>
    </row>
    <row r="474">
      <c r="K474" s="49"/>
    </row>
    <row r="475">
      <c r="K475" s="49"/>
    </row>
    <row r="476">
      <c r="K476" s="49"/>
    </row>
    <row r="477">
      <c r="K477" s="49"/>
    </row>
    <row r="478">
      <c r="K478" s="49"/>
    </row>
    <row r="479">
      <c r="K479" s="49"/>
    </row>
    <row r="480">
      <c r="K480" s="49"/>
    </row>
    <row r="481">
      <c r="K481" s="49"/>
    </row>
    <row r="482">
      <c r="K482" s="49"/>
    </row>
    <row r="483">
      <c r="K483" s="49"/>
    </row>
    <row r="484">
      <c r="K484" s="49"/>
    </row>
    <row r="485">
      <c r="K485" s="49"/>
    </row>
    <row r="486">
      <c r="K486" s="49"/>
    </row>
    <row r="487">
      <c r="K487" s="49"/>
    </row>
    <row r="488">
      <c r="K488" s="49"/>
    </row>
    <row r="489">
      <c r="K489" s="49"/>
    </row>
    <row r="490">
      <c r="K490" s="49"/>
    </row>
    <row r="491">
      <c r="K491" s="49"/>
    </row>
    <row r="492">
      <c r="K492" s="49"/>
    </row>
    <row r="493">
      <c r="K493" s="49"/>
    </row>
    <row r="494">
      <c r="K494" s="49"/>
    </row>
    <row r="495">
      <c r="K495" s="49"/>
    </row>
    <row r="496">
      <c r="K496" s="49"/>
    </row>
    <row r="497">
      <c r="K497" s="49"/>
    </row>
    <row r="498">
      <c r="K498" s="49"/>
    </row>
    <row r="499">
      <c r="K499" s="49"/>
    </row>
    <row r="500">
      <c r="K500" s="49"/>
    </row>
    <row r="501">
      <c r="K501" s="49"/>
    </row>
    <row r="502">
      <c r="K502" s="49"/>
    </row>
    <row r="503">
      <c r="K503" s="49"/>
    </row>
    <row r="504">
      <c r="K504" s="49"/>
    </row>
    <row r="505">
      <c r="K505" s="49"/>
    </row>
    <row r="506">
      <c r="K506" s="49"/>
    </row>
    <row r="507">
      <c r="K507" s="49"/>
    </row>
    <row r="508">
      <c r="K508" s="49"/>
    </row>
    <row r="509">
      <c r="K509" s="49"/>
    </row>
    <row r="510">
      <c r="K510" s="49"/>
    </row>
    <row r="511">
      <c r="K511" s="49"/>
    </row>
    <row r="512">
      <c r="K512" s="49"/>
    </row>
    <row r="513">
      <c r="K513" s="49"/>
    </row>
    <row r="514">
      <c r="K514" s="49"/>
    </row>
    <row r="515">
      <c r="K515" s="49"/>
    </row>
    <row r="516">
      <c r="K516" s="49"/>
    </row>
    <row r="517">
      <c r="K517" s="49"/>
    </row>
    <row r="518">
      <c r="K518" s="49"/>
    </row>
    <row r="519">
      <c r="K519" s="49"/>
    </row>
    <row r="520">
      <c r="K520" s="49"/>
    </row>
    <row r="521">
      <c r="K521" s="49"/>
    </row>
    <row r="522">
      <c r="K522" s="49"/>
    </row>
    <row r="523">
      <c r="K523" s="49"/>
    </row>
    <row r="524">
      <c r="K524" s="49"/>
    </row>
    <row r="525">
      <c r="K525" s="49"/>
    </row>
    <row r="526">
      <c r="K526" s="49"/>
    </row>
    <row r="527">
      <c r="K527" s="49"/>
    </row>
    <row r="528">
      <c r="K528" s="49"/>
    </row>
    <row r="529">
      <c r="K529" s="49"/>
    </row>
    <row r="530">
      <c r="K530" s="49"/>
    </row>
    <row r="531">
      <c r="K531" s="49"/>
    </row>
    <row r="532">
      <c r="K532" s="49"/>
    </row>
    <row r="533">
      <c r="K533" s="49"/>
    </row>
    <row r="534">
      <c r="K534" s="49"/>
    </row>
    <row r="535">
      <c r="K535" s="49"/>
    </row>
    <row r="536">
      <c r="K536" s="49"/>
    </row>
    <row r="537">
      <c r="K537" s="49"/>
    </row>
    <row r="538">
      <c r="K538" s="49"/>
    </row>
    <row r="539">
      <c r="K539" s="49"/>
    </row>
    <row r="540">
      <c r="K540" s="49"/>
    </row>
    <row r="541">
      <c r="K541" s="49"/>
    </row>
    <row r="542">
      <c r="K542" s="49"/>
    </row>
    <row r="543">
      <c r="K543" s="49"/>
    </row>
    <row r="544">
      <c r="K544" s="49"/>
    </row>
    <row r="545">
      <c r="K545" s="49"/>
    </row>
    <row r="546">
      <c r="K546" s="49"/>
    </row>
    <row r="547">
      <c r="K547" s="49"/>
    </row>
    <row r="548">
      <c r="K548" s="49"/>
    </row>
    <row r="549">
      <c r="K549" s="49"/>
    </row>
    <row r="550">
      <c r="K550" s="49"/>
    </row>
    <row r="551">
      <c r="K551" s="49"/>
    </row>
    <row r="552">
      <c r="K552" s="49"/>
    </row>
    <row r="553">
      <c r="K553" s="49"/>
    </row>
    <row r="554">
      <c r="K554" s="49"/>
    </row>
    <row r="555">
      <c r="K555" s="49"/>
    </row>
    <row r="556">
      <c r="K556" s="49"/>
    </row>
    <row r="557">
      <c r="K557" s="49"/>
    </row>
    <row r="558">
      <c r="K558" s="49"/>
    </row>
    <row r="559">
      <c r="K559" s="49"/>
    </row>
    <row r="560">
      <c r="K560" s="49"/>
    </row>
    <row r="561">
      <c r="K561" s="49"/>
    </row>
    <row r="562">
      <c r="K562" s="49"/>
    </row>
    <row r="563">
      <c r="K563" s="49"/>
    </row>
    <row r="564">
      <c r="K564" s="49"/>
    </row>
    <row r="565">
      <c r="K565" s="49"/>
    </row>
    <row r="566">
      <c r="K566" s="49"/>
    </row>
    <row r="567">
      <c r="K567" s="49"/>
    </row>
    <row r="568">
      <c r="K568" s="49"/>
    </row>
    <row r="569">
      <c r="K569" s="49"/>
    </row>
    <row r="570">
      <c r="K570" s="49"/>
    </row>
    <row r="571">
      <c r="K571" s="49"/>
    </row>
    <row r="572">
      <c r="K572" s="49"/>
    </row>
    <row r="573">
      <c r="K573" s="49"/>
    </row>
    <row r="574">
      <c r="K574" s="49"/>
    </row>
    <row r="575">
      <c r="K575" s="49"/>
    </row>
    <row r="576">
      <c r="K576" s="49"/>
    </row>
    <row r="577">
      <c r="K577" s="49"/>
    </row>
    <row r="578">
      <c r="K578" s="49"/>
    </row>
    <row r="579">
      <c r="K579" s="49"/>
    </row>
    <row r="580">
      <c r="K580" s="49"/>
    </row>
    <row r="581">
      <c r="K581" s="49"/>
    </row>
    <row r="582">
      <c r="K582" s="49"/>
    </row>
    <row r="583">
      <c r="K583" s="49"/>
    </row>
    <row r="584">
      <c r="K584" s="49"/>
    </row>
    <row r="585">
      <c r="K585" s="49"/>
    </row>
    <row r="586">
      <c r="K586" s="49"/>
    </row>
    <row r="587">
      <c r="K587" s="49"/>
    </row>
    <row r="588">
      <c r="K588" s="49"/>
    </row>
    <row r="589">
      <c r="K589" s="49"/>
    </row>
    <row r="590">
      <c r="K590" s="49"/>
    </row>
    <row r="591">
      <c r="K591" s="49"/>
    </row>
    <row r="592">
      <c r="K592" s="49"/>
    </row>
    <row r="593">
      <c r="K593" s="49"/>
    </row>
    <row r="594">
      <c r="K594" s="49"/>
    </row>
    <row r="595">
      <c r="K595" s="49"/>
    </row>
    <row r="596">
      <c r="K596" s="49"/>
    </row>
    <row r="597">
      <c r="K597" s="49"/>
    </row>
    <row r="598">
      <c r="K598" s="49"/>
    </row>
    <row r="599">
      <c r="K599" s="49"/>
    </row>
    <row r="600">
      <c r="K600" s="49"/>
    </row>
    <row r="601">
      <c r="K601" s="49"/>
    </row>
    <row r="602">
      <c r="K602" s="49"/>
    </row>
    <row r="603">
      <c r="K603" s="49"/>
    </row>
    <row r="604">
      <c r="K604" s="49"/>
    </row>
    <row r="605">
      <c r="K605" s="49"/>
    </row>
    <row r="606">
      <c r="K606" s="49"/>
    </row>
    <row r="607">
      <c r="K607" s="49"/>
    </row>
    <row r="608">
      <c r="K608" s="49"/>
    </row>
    <row r="609">
      <c r="K609" s="49"/>
    </row>
    <row r="610">
      <c r="K610" s="49"/>
    </row>
    <row r="611">
      <c r="K611" s="49"/>
    </row>
    <row r="612">
      <c r="K612" s="49"/>
    </row>
    <row r="613">
      <c r="K613" s="49"/>
    </row>
    <row r="614">
      <c r="K614" s="49"/>
    </row>
    <row r="615">
      <c r="K615" s="49"/>
    </row>
    <row r="616">
      <c r="K616" s="49"/>
    </row>
    <row r="617">
      <c r="K617" s="49"/>
    </row>
    <row r="618">
      <c r="K618" s="49"/>
    </row>
    <row r="619">
      <c r="K619" s="49"/>
    </row>
    <row r="620">
      <c r="K620" s="49"/>
    </row>
    <row r="621">
      <c r="K621" s="49"/>
    </row>
    <row r="622">
      <c r="K622" s="49"/>
    </row>
    <row r="623">
      <c r="K623" s="49"/>
    </row>
    <row r="624">
      <c r="K624" s="49"/>
    </row>
    <row r="625">
      <c r="K625" s="49"/>
    </row>
    <row r="626">
      <c r="K626" s="49"/>
    </row>
    <row r="627">
      <c r="K627" s="49"/>
    </row>
    <row r="628">
      <c r="K628" s="49"/>
    </row>
    <row r="629">
      <c r="K629" s="49"/>
    </row>
    <row r="630">
      <c r="K630" s="49"/>
    </row>
    <row r="631">
      <c r="K631" s="49"/>
    </row>
    <row r="632">
      <c r="K632" s="49"/>
    </row>
    <row r="633">
      <c r="K633" s="49"/>
    </row>
    <row r="634">
      <c r="K634" s="49"/>
    </row>
    <row r="635">
      <c r="K635" s="49"/>
    </row>
    <row r="636">
      <c r="K636" s="49"/>
    </row>
    <row r="637">
      <c r="K637" s="49"/>
    </row>
    <row r="638">
      <c r="K638" s="49"/>
    </row>
    <row r="639">
      <c r="K639" s="49"/>
    </row>
    <row r="640">
      <c r="K640" s="49"/>
    </row>
    <row r="641">
      <c r="K641" s="49"/>
    </row>
    <row r="642">
      <c r="K642" s="49"/>
    </row>
    <row r="643">
      <c r="K643" s="49"/>
    </row>
    <row r="644">
      <c r="K644" s="49"/>
    </row>
    <row r="645">
      <c r="K645" s="49"/>
    </row>
    <row r="646">
      <c r="K646" s="49"/>
    </row>
    <row r="647">
      <c r="K647" s="49"/>
    </row>
    <row r="648">
      <c r="K648" s="49"/>
    </row>
    <row r="649">
      <c r="K649" s="49"/>
    </row>
    <row r="650">
      <c r="K650" s="49"/>
    </row>
    <row r="651">
      <c r="K651" s="49"/>
    </row>
    <row r="652">
      <c r="K652" s="49"/>
    </row>
    <row r="653">
      <c r="K653" s="49"/>
    </row>
    <row r="654">
      <c r="K654" s="49"/>
    </row>
    <row r="655">
      <c r="K655" s="49"/>
    </row>
    <row r="656">
      <c r="K656" s="49"/>
    </row>
    <row r="657">
      <c r="K657" s="49"/>
    </row>
    <row r="658">
      <c r="K658" s="49"/>
    </row>
    <row r="659">
      <c r="K659" s="49"/>
    </row>
    <row r="660">
      <c r="K660" s="49"/>
    </row>
    <row r="661">
      <c r="K661" s="49"/>
    </row>
    <row r="662">
      <c r="K662" s="49"/>
    </row>
    <row r="663">
      <c r="K663" s="49"/>
    </row>
    <row r="664">
      <c r="K664" s="49"/>
    </row>
    <row r="665">
      <c r="K665" s="49"/>
    </row>
    <row r="666">
      <c r="K666" s="49"/>
    </row>
    <row r="667">
      <c r="K667" s="49"/>
    </row>
    <row r="668">
      <c r="K668" s="49"/>
    </row>
    <row r="669">
      <c r="K669" s="49"/>
    </row>
    <row r="670">
      <c r="K670" s="49"/>
    </row>
    <row r="671">
      <c r="K671" s="49"/>
    </row>
    <row r="672">
      <c r="K672" s="49"/>
    </row>
    <row r="673">
      <c r="K673" s="49"/>
    </row>
    <row r="674">
      <c r="K674" s="49"/>
    </row>
    <row r="675">
      <c r="K675" s="49"/>
    </row>
    <row r="676">
      <c r="K676" s="49"/>
    </row>
    <row r="677">
      <c r="K677" s="49"/>
    </row>
    <row r="678">
      <c r="K678" s="49"/>
    </row>
    <row r="679">
      <c r="K679" s="49"/>
    </row>
    <row r="680">
      <c r="K680" s="49"/>
    </row>
    <row r="681">
      <c r="K681" s="49"/>
    </row>
    <row r="682">
      <c r="K682" s="49"/>
    </row>
    <row r="683">
      <c r="K683" s="49"/>
    </row>
    <row r="684">
      <c r="K684" s="49"/>
    </row>
    <row r="685">
      <c r="K685" s="49"/>
    </row>
    <row r="686">
      <c r="K686" s="49"/>
    </row>
    <row r="687">
      <c r="K687" s="49"/>
    </row>
    <row r="688">
      <c r="K688" s="49"/>
    </row>
    <row r="689">
      <c r="K689" s="49"/>
    </row>
    <row r="690">
      <c r="K690" s="49"/>
    </row>
    <row r="691">
      <c r="K691" s="49"/>
    </row>
    <row r="692">
      <c r="K692" s="49"/>
    </row>
    <row r="693">
      <c r="K693" s="49"/>
    </row>
    <row r="694">
      <c r="K694" s="49"/>
    </row>
    <row r="695">
      <c r="K695" s="49"/>
    </row>
    <row r="696">
      <c r="K696" s="49"/>
    </row>
    <row r="697">
      <c r="K697" s="49"/>
    </row>
    <row r="698">
      <c r="K698" s="49"/>
    </row>
    <row r="699">
      <c r="K699" s="49"/>
    </row>
    <row r="700">
      <c r="K700" s="49"/>
    </row>
    <row r="701">
      <c r="K701" s="49"/>
    </row>
    <row r="702">
      <c r="K702" s="49"/>
    </row>
    <row r="703">
      <c r="K703" s="49"/>
    </row>
    <row r="704">
      <c r="K704" s="49"/>
    </row>
    <row r="705">
      <c r="K705" s="49"/>
    </row>
    <row r="706">
      <c r="K706" s="49"/>
    </row>
    <row r="707">
      <c r="K707" s="49"/>
    </row>
    <row r="708">
      <c r="K708" s="49"/>
    </row>
    <row r="709">
      <c r="K709" s="49"/>
    </row>
    <row r="710">
      <c r="K710" s="49"/>
    </row>
    <row r="711">
      <c r="K711" s="49"/>
    </row>
    <row r="712">
      <c r="K712" s="49"/>
    </row>
    <row r="713">
      <c r="K713" s="49"/>
    </row>
    <row r="714">
      <c r="K714" s="49"/>
    </row>
    <row r="715">
      <c r="K715" s="49"/>
    </row>
    <row r="716">
      <c r="K716" s="49"/>
    </row>
    <row r="717">
      <c r="K717" s="49"/>
    </row>
    <row r="718">
      <c r="K718" s="49"/>
    </row>
    <row r="719">
      <c r="K719" s="49"/>
    </row>
    <row r="720">
      <c r="K720" s="49"/>
    </row>
    <row r="721">
      <c r="K721" s="49"/>
    </row>
    <row r="722">
      <c r="K722" s="49"/>
    </row>
    <row r="723">
      <c r="K723" s="49"/>
    </row>
    <row r="724">
      <c r="K724" s="49"/>
    </row>
    <row r="725">
      <c r="K725" s="49"/>
    </row>
    <row r="726">
      <c r="K726" s="49"/>
    </row>
    <row r="727">
      <c r="K727" s="49"/>
    </row>
    <row r="728">
      <c r="K728" s="49"/>
    </row>
    <row r="729">
      <c r="K729" s="49"/>
    </row>
    <row r="730">
      <c r="K730" s="49"/>
    </row>
    <row r="731">
      <c r="K731" s="49"/>
    </row>
    <row r="732">
      <c r="K732" s="49"/>
    </row>
    <row r="733">
      <c r="K733" s="49"/>
    </row>
    <row r="734">
      <c r="K734" s="49"/>
    </row>
    <row r="735">
      <c r="K735" s="49"/>
    </row>
    <row r="736">
      <c r="K736" s="49"/>
    </row>
    <row r="737">
      <c r="K737" s="49"/>
    </row>
    <row r="738">
      <c r="K738" s="49"/>
    </row>
    <row r="739">
      <c r="K739" s="49"/>
    </row>
    <row r="740">
      <c r="K740" s="49"/>
    </row>
    <row r="741">
      <c r="K741" s="49"/>
    </row>
    <row r="742">
      <c r="K742" s="49"/>
    </row>
    <row r="743">
      <c r="K743" s="49"/>
    </row>
    <row r="744">
      <c r="K744" s="49"/>
    </row>
    <row r="745">
      <c r="K745" s="49"/>
    </row>
    <row r="746">
      <c r="K746" s="49"/>
    </row>
    <row r="747">
      <c r="K747" s="49"/>
    </row>
    <row r="748">
      <c r="K748" s="49"/>
    </row>
    <row r="749">
      <c r="K749" s="49"/>
    </row>
    <row r="750">
      <c r="K750" s="49"/>
    </row>
    <row r="751">
      <c r="K751" s="49"/>
    </row>
    <row r="752">
      <c r="K752" s="49"/>
    </row>
    <row r="753">
      <c r="K753" s="49"/>
    </row>
    <row r="754">
      <c r="K754" s="49"/>
    </row>
    <row r="755">
      <c r="K755" s="49"/>
    </row>
    <row r="756">
      <c r="K756" s="49"/>
    </row>
    <row r="757">
      <c r="K757" s="49"/>
    </row>
    <row r="758">
      <c r="K758" s="49"/>
    </row>
    <row r="759">
      <c r="K759" s="49"/>
    </row>
    <row r="760">
      <c r="K760" s="49"/>
    </row>
    <row r="761">
      <c r="K761" s="49"/>
    </row>
    <row r="762">
      <c r="K762" s="49"/>
    </row>
    <row r="763">
      <c r="K763" s="49"/>
    </row>
    <row r="764">
      <c r="K764" s="49"/>
    </row>
    <row r="765">
      <c r="K765" s="49"/>
    </row>
    <row r="766">
      <c r="K766" s="49"/>
    </row>
    <row r="767">
      <c r="K767" s="49"/>
    </row>
    <row r="768">
      <c r="K768" s="49"/>
    </row>
    <row r="769">
      <c r="K769" s="49"/>
    </row>
    <row r="770">
      <c r="K770" s="49"/>
    </row>
    <row r="771">
      <c r="K771" s="49"/>
    </row>
    <row r="772">
      <c r="K772" s="49"/>
    </row>
    <row r="773">
      <c r="K773" s="49"/>
    </row>
    <row r="774">
      <c r="K774" s="49"/>
    </row>
    <row r="775">
      <c r="K775" s="49"/>
    </row>
    <row r="776">
      <c r="K776" s="49"/>
    </row>
    <row r="777">
      <c r="K777" s="49"/>
    </row>
    <row r="778">
      <c r="K778" s="49"/>
    </row>
    <row r="779">
      <c r="K779" s="49"/>
    </row>
    <row r="780">
      <c r="K780" s="49"/>
    </row>
    <row r="781">
      <c r="K781" s="49"/>
    </row>
    <row r="782">
      <c r="K782" s="49"/>
    </row>
    <row r="783">
      <c r="K783" s="49"/>
    </row>
    <row r="784">
      <c r="K784" s="49"/>
    </row>
    <row r="785">
      <c r="K785" s="49"/>
    </row>
    <row r="786">
      <c r="K786" s="49"/>
    </row>
    <row r="787">
      <c r="K787" s="49"/>
    </row>
    <row r="788">
      <c r="K788" s="49"/>
    </row>
    <row r="789">
      <c r="K789" s="49"/>
    </row>
    <row r="790">
      <c r="K790" s="49"/>
    </row>
    <row r="791">
      <c r="K791" s="49"/>
    </row>
    <row r="792">
      <c r="K792" s="49"/>
    </row>
    <row r="793">
      <c r="K793" s="49"/>
    </row>
    <row r="794">
      <c r="K794" s="49"/>
    </row>
    <row r="795">
      <c r="K795" s="49"/>
    </row>
    <row r="796">
      <c r="K796" s="49"/>
    </row>
    <row r="797">
      <c r="K797" s="49"/>
    </row>
    <row r="798">
      <c r="K798" s="49"/>
    </row>
    <row r="799">
      <c r="K799" s="49"/>
    </row>
    <row r="800">
      <c r="K800" s="49"/>
    </row>
    <row r="801">
      <c r="K801" s="49"/>
    </row>
    <row r="802">
      <c r="K802" s="49"/>
    </row>
    <row r="803">
      <c r="K803" s="49"/>
    </row>
    <row r="804">
      <c r="K804" s="49"/>
    </row>
    <row r="805">
      <c r="K805" s="49"/>
    </row>
    <row r="806">
      <c r="K806" s="49"/>
    </row>
    <row r="807">
      <c r="K807" s="49"/>
    </row>
    <row r="808">
      <c r="K808" s="49"/>
    </row>
    <row r="809">
      <c r="K809" s="49"/>
    </row>
    <row r="810">
      <c r="K810" s="49"/>
    </row>
    <row r="811">
      <c r="K811" s="49"/>
    </row>
    <row r="812">
      <c r="K812" s="49"/>
    </row>
    <row r="813">
      <c r="K813" s="49"/>
    </row>
    <row r="814">
      <c r="K814" s="49"/>
    </row>
    <row r="815">
      <c r="K815" s="49"/>
    </row>
    <row r="816">
      <c r="K816" s="49"/>
    </row>
    <row r="817">
      <c r="K817" s="49"/>
    </row>
    <row r="818">
      <c r="K818" s="49"/>
    </row>
    <row r="819">
      <c r="K819" s="49"/>
    </row>
    <row r="820">
      <c r="K820" s="49"/>
    </row>
    <row r="821">
      <c r="K821" s="49"/>
    </row>
    <row r="822">
      <c r="K822" s="49"/>
    </row>
    <row r="823">
      <c r="K823" s="49"/>
    </row>
    <row r="824">
      <c r="K824" s="49"/>
    </row>
    <row r="825">
      <c r="K825" s="49"/>
    </row>
    <row r="826">
      <c r="K826" s="49"/>
    </row>
    <row r="827">
      <c r="K827" s="49"/>
    </row>
    <row r="828">
      <c r="K828" s="49"/>
    </row>
    <row r="829">
      <c r="K829" s="49"/>
    </row>
    <row r="830">
      <c r="K830" s="49"/>
    </row>
    <row r="831">
      <c r="K831" s="49"/>
    </row>
    <row r="832">
      <c r="K832" s="49"/>
    </row>
    <row r="833">
      <c r="K833" s="49"/>
    </row>
    <row r="834">
      <c r="K834" s="49"/>
    </row>
    <row r="835">
      <c r="K835" s="49"/>
    </row>
    <row r="836">
      <c r="K836" s="49"/>
    </row>
    <row r="837">
      <c r="K837" s="49"/>
    </row>
    <row r="838">
      <c r="K838" s="49"/>
    </row>
    <row r="839">
      <c r="K839" s="49"/>
    </row>
    <row r="840">
      <c r="K840" s="49"/>
    </row>
    <row r="841">
      <c r="K841" s="49"/>
    </row>
    <row r="842">
      <c r="K842" s="49"/>
    </row>
    <row r="843">
      <c r="K843" s="49"/>
    </row>
    <row r="844">
      <c r="K844" s="49"/>
    </row>
    <row r="845">
      <c r="K845" s="49"/>
    </row>
    <row r="846">
      <c r="K846" s="49"/>
    </row>
    <row r="847">
      <c r="K847" s="49"/>
    </row>
    <row r="848">
      <c r="K848" s="49"/>
    </row>
    <row r="849">
      <c r="K849" s="49"/>
    </row>
    <row r="850">
      <c r="K850" s="49"/>
    </row>
    <row r="851">
      <c r="K851" s="49"/>
    </row>
    <row r="852">
      <c r="K852" s="49"/>
    </row>
    <row r="853">
      <c r="K853" s="49"/>
    </row>
    <row r="854">
      <c r="K854" s="49"/>
    </row>
    <row r="855">
      <c r="K855" s="49"/>
    </row>
    <row r="856">
      <c r="K856" s="49"/>
    </row>
    <row r="857">
      <c r="K857" s="49"/>
    </row>
    <row r="858">
      <c r="K858" s="49"/>
    </row>
    <row r="859">
      <c r="K859" s="49"/>
    </row>
    <row r="860">
      <c r="K860" s="49"/>
    </row>
    <row r="861">
      <c r="K861" s="49"/>
    </row>
    <row r="862">
      <c r="K862" s="49"/>
    </row>
    <row r="863">
      <c r="K863" s="49"/>
    </row>
    <row r="864">
      <c r="K864" s="49"/>
    </row>
    <row r="865">
      <c r="K865" s="49"/>
    </row>
    <row r="866">
      <c r="K866" s="49"/>
    </row>
    <row r="867">
      <c r="K867" s="49"/>
    </row>
    <row r="868">
      <c r="K868" s="49"/>
    </row>
    <row r="869">
      <c r="K869" s="49"/>
    </row>
    <row r="870">
      <c r="K870" s="49"/>
    </row>
    <row r="871">
      <c r="K871" s="49"/>
    </row>
    <row r="872">
      <c r="K872" s="49"/>
    </row>
    <row r="873">
      <c r="K873" s="49"/>
    </row>
    <row r="874">
      <c r="K874" s="49"/>
    </row>
    <row r="875">
      <c r="K875" s="49"/>
    </row>
    <row r="876">
      <c r="K876" s="49"/>
    </row>
    <row r="877">
      <c r="K877" s="49"/>
    </row>
    <row r="878">
      <c r="K878" s="49"/>
    </row>
    <row r="879">
      <c r="K879" s="49"/>
    </row>
    <row r="880">
      <c r="K880" s="49"/>
    </row>
    <row r="881">
      <c r="K881" s="49"/>
    </row>
    <row r="882">
      <c r="K882" s="49"/>
    </row>
    <row r="883">
      <c r="K883" s="49"/>
    </row>
    <row r="884">
      <c r="K884" s="49"/>
    </row>
    <row r="885">
      <c r="K885" s="49"/>
    </row>
    <row r="886">
      <c r="K886" s="49"/>
    </row>
    <row r="887">
      <c r="K887" s="49"/>
    </row>
    <row r="888">
      <c r="K888" s="49"/>
    </row>
    <row r="889">
      <c r="K889" s="49"/>
    </row>
    <row r="890">
      <c r="K890" s="49"/>
    </row>
    <row r="891">
      <c r="K891" s="49"/>
    </row>
    <row r="892">
      <c r="K892" s="49"/>
    </row>
    <row r="893">
      <c r="K893" s="49"/>
    </row>
    <row r="894">
      <c r="K894" s="49"/>
    </row>
    <row r="895">
      <c r="K895" s="49"/>
    </row>
    <row r="896">
      <c r="K896" s="49"/>
    </row>
    <row r="897">
      <c r="K897" s="49"/>
    </row>
    <row r="898">
      <c r="K898" s="49"/>
    </row>
    <row r="899">
      <c r="K899" s="49"/>
    </row>
    <row r="900">
      <c r="K900" s="49"/>
    </row>
    <row r="901">
      <c r="K901" s="49"/>
    </row>
    <row r="902">
      <c r="K902" s="49"/>
    </row>
    <row r="903">
      <c r="K903" s="49"/>
    </row>
    <row r="904">
      <c r="K904" s="49"/>
    </row>
    <row r="905">
      <c r="K905" s="49"/>
    </row>
    <row r="906">
      <c r="K906" s="49"/>
    </row>
    <row r="907">
      <c r="K907" s="49"/>
    </row>
    <row r="908">
      <c r="K908" s="49"/>
    </row>
    <row r="909">
      <c r="K909" s="49"/>
    </row>
    <row r="910">
      <c r="K910" s="49"/>
    </row>
    <row r="911">
      <c r="K911" s="49"/>
    </row>
    <row r="912">
      <c r="K912" s="49"/>
    </row>
    <row r="913">
      <c r="K913" s="49"/>
    </row>
    <row r="914">
      <c r="K914" s="49"/>
    </row>
    <row r="915">
      <c r="K915" s="49"/>
    </row>
    <row r="916">
      <c r="K916" s="49"/>
    </row>
    <row r="917">
      <c r="K917" s="49"/>
    </row>
    <row r="918">
      <c r="K918" s="49"/>
    </row>
    <row r="919">
      <c r="K919" s="49"/>
    </row>
    <row r="920">
      <c r="K920" s="49"/>
    </row>
    <row r="921">
      <c r="K921" s="49"/>
    </row>
    <row r="922">
      <c r="K922" s="49"/>
    </row>
    <row r="923">
      <c r="K923" s="49"/>
    </row>
    <row r="924">
      <c r="K924" s="49"/>
    </row>
    <row r="925">
      <c r="K925" s="49"/>
    </row>
    <row r="926">
      <c r="K926" s="49"/>
    </row>
    <row r="927">
      <c r="K927" s="49"/>
    </row>
    <row r="928">
      <c r="K928" s="49"/>
    </row>
    <row r="929">
      <c r="K929" s="49"/>
    </row>
    <row r="930">
      <c r="K930" s="49"/>
    </row>
    <row r="931">
      <c r="K931" s="49"/>
    </row>
    <row r="932">
      <c r="K932" s="49"/>
    </row>
    <row r="933">
      <c r="K933" s="49"/>
    </row>
    <row r="934">
      <c r="K934" s="49"/>
    </row>
    <row r="935">
      <c r="K935" s="49"/>
    </row>
    <row r="936">
      <c r="K936" s="49"/>
    </row>
    <row r="937">
      <c r="K937" s="49"/>
    </row>
    <row r="938">
      <c r="K938" s="49"/>
    </row>
    <row r="939">
      <c r="K939" s="49"/>
    </row>
    <row r="940">
      <c r="K940" s="49"/>
    </row>
    <row r="941">
      <c r="K941" s="49"/>
    </row>
    <row r="942">
      <c r="K942" s="49"/>
    </row>
    <row r="943">
      <c r="K943" s="49"/>
    </row>
    <row r="944">
      <c r="K944" s="49"/>
    </row>
    <row r="945">
      <c r="K945" s="49"/>
    </row>
    <row r="946">
      <c r="K946" s="49"/>
    </row>
    <row r="947">
      <c r="K947" s="49"/>
    </row>
    <row r="948">
      <c r="K948" s="49"/>
    </row>
    <row r="949">
      <c r="K949" s="49"/>
    </row>
    <row r="950">
      <c r="K950" s="49"/>
    </row>
    <row r="951">
      <c r="K951" s="49"/>
    </row>
    <row r="952">
      <c r="K952" s="49"/>
    </row>
    <row r="953">
      <c r="K953" s="49"/>
    </row>
    <row r="954">
      <c r="K954" s="49"/>
    </row>
    <row r="955">
      <c r="K955" s="49"/>
    </row>
    <row r="956">
      <c r="K956" s="49"/>
    </row>
    <row r="957">
      <c r="K957" s="49"/>
    </row>
    <row r="958">
      <c r="K958" s="49"/>
    </row>
    <row r="959">
      <c r="K959" s="49"/>
    </row>
    <row r="960">
      <c r="K960" s="49"/>
    </row>
    <row r="961">
      <c r="K961" s="49"/>
    </row>
    <row r="962">
      <c r="K962" s="49"/>
    </row>
    <row r="963">
      <c r="K963" s="49"/>
    </row>
    <row r="964">
      <c r="K964" s="49"/>
    </row>
    <row r="965">
      <c r="K965" s="49"/>
    </row>
    <row r="966">
      <c r="K966" s="49"/>
    </row>
    <row r="967">
      <c r="K967" s="49"/>
    </row>
    <row r="968">
      <c r="K968" s="49"/>
    </row>
    <row r="969">
      <c r="K969" s="49"/>
    </row>
    <row r="970">
      <c r="K970" s="49"/>
    </row>
    <row r="971">
      <c r="K971" s="49"/>
    </row>
    <row r="972">
      <c r="K972" s="49"/>
    </row>
    <row r="973">
      <c r="K973" s="49"/>
    </row>
    <row r="974">
      <c r="K974" s="49"/>
    </row>
    <row r="975">
      <c r="K975" s="49"/>
    </row>
    <row r="976">
      <c r="K976" s="49"/>
    </row>
    <row r="977">
      <c r="K977" s="49"/>
    </row>
    <row r="978">
      <c r="K978" s="49"/>
    </row>
    <row r="979">
      <c r="K979" s="49"/>
    </row>
    <row r="980">
      <c r="K980" s="49"/>
    </row>
    <row r="981">
      <c r="K981" s="49"/>
    </row>
    <row r="982">
      <c r="K982" s="49"/>
    </row>
    <row r="983">
      <c r="K983" s="49"/>
    </row>
    <row r="984">
      <c r="K984" s="49"/>
    </row>
    <row r="985">
      <c r="K985" s="49"/>
    </row>
    <row r="986">
      <c r="K986" s="49"/>
    </row>
    <row r="987">
      <c r="K987" s="49"/>
    </row>
    <row r="988">
      <c r="K988" s="49"/>
    </row>
    <row r="989">
      <c r="K989" s="49"/>
    </row>
    <row r="990">
      <c r="K990" s="49"/>
    </row>
    <row r="991">
      <c r="K991" s="49"/>
    </row>
    <row r="992">
      <c r="K992" s="49"/>
    </row>
    <row r="993">
      <c r="K993" s="49"/>
    </row>
    <row r="994">
      <c r="K994" s="49"/>
    </row>
    <row r="995">
      <c r="K995" s="49"/>
    </row>
    <row r="996">
      <c r="K996" s="49"/>
    </row>
    <row r="997">
      <c r="K997" s="49"/>
    </row>
    <row r="998">
      <c r="K998" s="49"/>
    </row>
    <row r="999">
      <c r="K999" s="49"/>
    </row>
    <row r="1000">
      <c r="K1000" s="49"/>
    </row>
  </sheetData>
  <mergeCells count="12">
    <mergeCell ref="C19:M19"/>
    <mergeCell ref="C30:M30"/>
    <mergeCell ref="D32:D33"/>
    <mergeCell ref="C38:M38"/>
    <mergeCell ref="C40:M40"/>
    <mergeCell ref="C8:M8"/>
    <mergeCell ref="C11:C12"/>
    <mergeCell ref="D11:D12"/>
    <mergeCell ref="E11:E12"/>
    <mergeCell ref="C14:M14"/>
    <mergeCell ref="C15:C16"/>
    <mergeCell ref="C17:C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0"/>
    <col customWidth="1" min="3" max="3" width="12.75"/>
    <col customWidth="1" min="4" max="4" width="11.75"/>
    <col customWidth="1" min="5" max="5" width="14.75"/>
    <col customWidth="1" min="6" max="6" width="14.38"/>
    <col customWidth="1" min="7" max="7" width="9.63"/>
    <col customWidth="1" min="8" max="8" width="8.75"/>
    <col customWidth="1" min="9" max="10" width="11.13"/>
    <col customWidth="1" min="11" max="11" width="23.5"/>
    <col customWidth="1" min="12" max="12" width="7.75"/>
    <col customWidth="1" min="15" max="15" width="15.63"/>
    <col customWidth="1" min="17" max="17" width="18.63"/>
    <col customWidth="1" min="18" max="18" width="17.25"/>
    <col customWidth="1" min="19" max="19" width="15.88"/>
    <col customWidth="1" min="20" max="20" width="16.5"/>
    <col customWidth="1" min="21" max="21" width="13.63"/>
  </cols>
  <sheetData>
    <row r="3">
      <c r="B3" s="5" t="s">
        <v>210</v>
      </c>
      <c r="C3" s="5" t="s">
        <v>211</v>
      </c>
      <c r="D3" s="5" t="s">
        <v>212</v>
      </c>
      <c r="E3" s="5" t="s">
        <v>211</v>
      </c>
      <c r="I3" s="5"/>
      <c r="J3" s="5"/>
      <c r="K3" s="5"/>
    </row>
    <row r="4">
      <c r="O4" s="60" t="s">
        <v>213</v>
      </c>
      <c r="P4" s="60" t="s">
        <v>214</v>
      </c>
      <c r="Q4" s="60" t="s">
        <v>215</v>
      </c>
      <c r="R4" s="60" t="s">
        <v>216</v>
      </c>
      <c r="S4" s="60" t="s">
        <v>217</v>
      </c>
      <c r="T4" s="60" t="s">
        <v>218</v>
      </c>
      <c r="U4" s="60" t="s">
        <v>219</v>
      </c>
      <c r="V4" s="60" t="s">
        <v>51</v>
      </c>
    </row>
    <row r="5">
      <c r="B5" s="61" t="s">
        <v>220</v>
      </c>
      <c r="C5" s="62"/>
      <c r="D5" s="62"/>
      <c r="E5" s="62"/>
      <c r="F5" s="62"/>
      <c r="G5" s="62"/>
      <c r="H5" s="62"/>
      <c r="I5" s="62"/>
      <c r="J5" s="62"/>
      <c r="K5" s="62"/>
      <c r="L5" s="63"/>
      <c r="O5" s="60" t="s">
        <v>221</v>
      </c>
      <c r="P5" s="60" t="s">
        <v>222</v>
      </c>
      <c r="Q5" s="64" t="s">
        <v>223</v>
      </c>
      <c r="R5" s="60" t="s">
        <v>224</v>
      </c>
      <c r="S5" s="60" t="s">
        <v>224</v>
      </c>
      <c r="T5" s="60" t="s">
        <v>225</v>
      </c>
      <c r="U5" s="60" t="s">
        <v>226</v>
      </c>
      <c r="V5" s="65" t="s">
        <v>227</v>
      </c>
    </row>
    <row r="6">
      <c r="B6" s="60" t="s">
        <v>228</v>
      </c>
      <c r="C6" s="60" t="s">
        <v>229</v>
      </c>
      <c r="D6" s="60" t="s">
        <v>230</v>
      </c>
      <c r="E6" s="60" t="s">
        <v>231</v>
      </c>
      <c r="F6" s="60" t="s">
        <v>232</v>
      </c>
      <c r="G6" s="60" t="s">
        <v>233</v>
      </c>
      <c r="H6" s="60" t="s">
        <v>234</v>
      </c>
      <c r="I6" s="60" t="s">
        <v>235</v>
      </c>
      <c r="J6" s="60" t="s">
        <v>236</v>
      </c>
      <c r="K6" s="60" t="s">
        <v>237</v>
      </c>
      <c r="L6" s="60" t="s">
        <v>238</v>
      </c>
      <c r="O6" s="60" t="s">
        <v>239</v>
      </c>
      <c r="P6" s="60" t="s">
        <v>240</v>
      </c>
      <c r="Q6" s="66" t="s">
        <v>143</v>
      </c>
      <c r="R6" s="66" t="s">
        <v>143</v>
      </c>
      <c r="S6" s="66" t="s">
        <v>143</v>
      </c>
      <c r="T6" s="66" t="s">
        <v>143</v>
      </c>
      <c r="U6" s="60" t="s">
        <v>226</v>
      </c>
      <c r="V6" s="65" t="s">
        <v>227</v>
      </c>
    </row>
    <row r="7">
      <c r="B7" s="60" t="s">
        <v>241</v>
      </c>
      <c r="C7" s="60" t="s">
        <v>242</v>
      </c>
      <c r="D7" s="60" t="s">
        <v>242</v>
      </c>
      <c r="E7" s="60" t="s">
        <v>243</v>
      </c>
      <c r="F7" s="60" t="s">
        <v>244</v>
      </c>
      <c r="G7" s="60" t="s">
        <v>97</v>
      </c>
      <c r="H7" s="60" t="s">
        <v>97</v>
      </c>
      <c r="I7" s="60" t="s">
        <v>120</v>
      </c>
      <c r="J7" s="60" t="s">
        <v>242</v>
      </c>
      <c r="K7" s="60" t="s">
        <v>245</v>
      </c>
      <c r="L7" s="60" t="b">
        <v>1</v>
      </c>
      <c r="O7" s="60" t="s">
        <v>246</v>
      </c>
      <c r="P7" s="60" t="s">
        <v>222</v>
      </c>
      <c r="Q7" s="60" t="s">
        <v>211</v>
      </c>
      <c r="R7" s="60" t="s">
        <v>247</v>
      </c>
      <c r="S7" s="60" t="s">
        <v>248</v>
      </c>
      <c r="T7" s="60" t="s">
        <v>249</v>
      </c>
      <c r="U7" s="60" t="s">
        <v>226</v>
      </c>
      <c r="V7" s="65" t="s">
        <v>227</v>
      </c>
    </row>
    <row r="8">
      <c r="B8" s="60" t="s">
        <v>241</v>
      </c>
      <c r="C8" s="60" t="s">
        <v>242</v>
      </c>
      <c r="D8" s="60" t="s">
        <v>242</v>
      </c>
      <c r="E8" s="60" t="s">
        <v>243</v>
      </c>
      <c r="F8" s="60" t="s">
        <v>244</v>
      </c>
      <c r="G8" s="60" t="s">
        <v>97</v>
      </c>
      <c r="H8" s="60" t="s">
        <v>97</v>
      </c>
      <c r="I8" s="60" t="s">
        <v>120</v>
      </c>
      <c r="J8" s="60" t="s">
        <v>242</v>
      </c>
      <c r="K8" s="60" t="s">
        <v>250</v>
      </c>
      <c r="L8" s="60" t="b">
        <v>1</v>
      </c>
      <c r="O8" s="60" t="s">
        <v>251</v>
      </c>
      <c r="P8" s="60" t="s">
        <v>222</v>
      </c>
      <c r="Q8" s="64" t="s">
        <v>252</v>
      </c>
      <c r="R8" s="60" t="s">
        <v>253</v>
      </c>
      <c r="S8" s="60" t="s">
        <v>224</v>
      </c>
      <c r="T8" s="60" t="s">
        <v>254</v>
      </c>
      <c r="U8" s="60" t="s">
        <v>255</v>
      </c>
      <c r="V8" s="65" t="s">
        <v>227</v>
      </c>
    </row>
    <row r="9">
      <c r="B9" s="60" t="s">
        <v>241</v>
      </c>
      <c r="C9" s="60" t="s">
        <v>242</v>
      </c>
      <c r="D9" s="60" t="s">
        <v>242</v>
      </c>
      <c r="E9" s="60" t="s">
        <v>256</v>
      </c>
      <c r="F9" s="60" t="s">
        <v>244</v>
      </c>
      <c r="G9" s="60" t="s">
        <v>97</v>
      </c>
      <c r="H9" s="60" t="s">
        <v>97</v>
      </c>
      <c r="I9" s="60" t="s">
        <v>120</v>
      </c>
      <c r="J9" s="60" t="s">
        <v>242</v>
      </c>
      <c r="K9" s="60" t="s">
        <v>257</v>
      </c>
      <c r="L9" s="60" t="b">
        <v>1</v>
      </c>
      <c r="O9" s="60" t="s">
        <v>258</v>
      </c>
      <c r="P9" s="60" t="s">
        <v>222</v>
      </c>
      <c r="Q9" s="60" t="s">
        <v>211</v>
      </c>
      <c r="R9" s="60" t="s">
        <v>247</v>
      </c>
      <c r="S9" s="60" t="s">
        <v>248</v>
      </c>
      <c r="T9" s="60" t="s">
        <v>249</v>
      </c>
      <c r="U9" s="60" t="s">
        <v>255</v>
      </c>
      <c r="V9" s="65" t="s">
        <v>227</v>
      </c>
    </row>
    <row r="10">
      <c r="B10" s="67" t="s">
        <v>241</v>
      </c>
      <c r="C10" s="67" t="s">
        <v>242</v>
      </c>
      <c r="D10" s="67" t="s">
        <v>242</v>
      </c>
      <c r="E10" s="67" t="s">
        <v>243</v>
      </c>
      <c r="F10" s="67" t="s">
        <v>244</v>
      </c>
      <c r="G10" s="67" t="s">
        <v>97</v>
      </c>
      <c r="H10" s="67" t="s">
        <v>97</v>
      </c>
      <c r="I10" s="67" t="s">
        <v>120</v>
      </c>
      <c r="J10" s="67" t="s">
        <v>242</v>
      </c>
      <c r="K10" s="67" t="s">
        <v>245</v>
      </c>
      <c r="L10" s="67" t="b">
        <v>0</v>
      </c>
    </row>
    <row r="11">
      <c r="B11" s="67" t="s">
        <v>241</v>
      </c>
      <c r="C11" s="67" t="s">
        <v>242</v>
      </c>
      <c r="D11" s="67" t="s">
        <v>242</v>
      </c>
      <c r="E11" s="67" t="s">
        <v>243</v>
      </c>
      <c r="F11" s="67" t="s">
        <v>244</v>
      </c>
      <c r="G11" s="67" t="s">
        <v>97</v>
      </c>
      <c r="H11" s="67" t="s">
        <v>97</v>
      </c>
      <c r="I11" s="67" t="s">
        <v>120</v>
      </c>
      <c r="J11" s="67" t="s">
        <v>242</v>
      </c>
      <c r="K11" s="67" t="s">
        <v>245</v>
      </c>
      <c r="L11" s="67" t="b">
        <v>0</v>
      </c>
    </row>
    <row r="12">
      <c r="B12" s="60" t="s">
        <v>241</v>
      </c>
      <c r="C12" s="60" t="s">
        <v>242</v>
      </c>
      <c r="D12" s="60" t="s">
        <v>242</v>
      </c>
      <c r="E12" s="60" t="s">
        <v>259</v>
      </c>
      <c r="F12" s="60" t="s">
        <v>244</v>
      </c>
      <c r="G12" s="60" t="s">
        <v>97</v>
      </c>
      <c r="H12" s="60" t="s">
        <v>97</v>
      </c>
      <c r="I12" s="60" t="s">
        <v>120</v>
      </c>
      <c r="J12" s="60" t="s">
        <v>242</v>
      </c>
      <c r="K12" s="60" t="s">
        <v>260</v>
      </c>
      <c r="L12" s="60" t="b">
        <v>1</v>
      </c>
    </row>
    <row r="13">
      <c r="B13" s="5" t="s">
        <v>261</v>
      </c>
      <c r="C13" s="5" t="s">
        <v>262</v>
      </c>
      <c r="O13" s="5" t="s">
        <v>263</v>
      </c>
      <c r="P13" s="5" t="s">
        <v>221</v>
      </c>
      <c r="R13" s="5" t="s">
        <v>264</v>
      </c>
      <c r="S13" s="5" t="s">
        <v>222</v>
      </c>
      <c r="U13" s="5" t="s">
        <v>265</v>
      </c>
      <c r="V13" s="5" t="s">
        <v>266</v>
      </c>
    </row>
    <row r="14">
      <c r="I14" s="18" t="s">
        <v>267</v>
      </c>
      <c r="K14" s="18" t="s">
        <v>268</v>
      </c>
      <c r="O14" s="5" t="s">
        <v>269</v>
      </c>
      <c r="P14" s="5" t="s">
        <v>270</v>
      </c>
      <c r="R14" s="5" t="s">
        <v>271</v>
      </c>
      <c r="S14" s="5" t="s">
        <v>272</v>
      </c>
      <c r="U14" s="5" t="s">
        <v>273</v>
      </c>
    </row>
    <row r="16">
      <c r="O16" s="60" t="s">
        <v>228</v>
      </c>
      <c r="P16" s="60" t="s">
        <v>229</v>
      </c>
      <c r="Q16" s="60" t="s">
        <v>231</v>
      </c>
      <c r="R16" s="60" t="s">
        <v>232</v>
      </c>
      <c r="S16" s="60" t="s">
        <v>274</v>
      </c>
      <c r="T16" s="60" t="s">
        <v>235</v>
      </c>
      <c r="U16" s="60" t="s">
        <v>234</v>
      </c>
      <c r="V16" s="60" t="s">
        <v>236</v>
      </c>
      <c r="W16" s="60" t="s">
        <v>51</v>
      </c>
    </row>
    <row r="17">
      <c r="O17" s="60" t="s">
        <v>241</v>
      </c>
      <c r="P17" s="60" t="s">
        <v>242</v>
      </c>
      <c r="Q17" s="60" t="s">
        <v>243</v>
      </c>
      <c r="R17" s="60" t="s">
        <v>244</v>
      </c>
      <c r="S17" s="60" t="s">
        <v>97</v>
      </c>
      <c r="T17" s="60" t="s">
        <v>120</v>
      </c>
      <c r="U17" s="60" t="s">
        <v>97</v>
      </c>
      <c r="V17" s="60" t="s">
        <v>242</v>
      </c>
      <c r="W17" s="60" t="b">
        <v>1</v>
      </c>
    </row>
    <row r="18">
      <c r="B18" s="5" t="s">
        <v>275</v>
      </c>
      <c r="I18" s="18" t="s">
        <v>276</v>
      </c>
      <c r="J18" s="18"/>
      <c r="K18" s="18"/>
      <c r="L18" s="5" t="s">
        <v>157</v>
      </c>
      <c r="O18" s="60" t="s">
        <v>241</v>
      </c>
      <c r="P18" s="60" t="s">
        <v>242</v>
      </c>
      <c r="Q18" s="60" t="s">
        <v>243</v>
      </c>
      <c r="R18" s="60" t="s">
        <v>244</v>
      </c>
      <c r="S18" s="60" t="s">
        <v>97</v>
      </c>
      <c r="T18" s="60" t="s">
        <v>120</v>
      </c>
      <c r="U18" s="60" t="s">
        <v>97</v>
      </c>
      <c r="V18" s="60" t="s">
        <v>242</v>
      </c>
      <c r="W18" s="60" t="b">
        <v>1</v>
      </c>
    </row>
    <row r="19">
      <c r="B19" s="5" t="s">
        <v>275</v>
      </c>
      <c r="I19" s="18" t="s">
        <v>276</v>
      </c>
      <c r="J19" s="18"/>
      <c r="K19" s="18"/>
      <c r="L19" s="5" t="s">
        <v>157</v>
      </c>
      <c r="O19" s="60" t="s">
        <v>241</v>
      </c>
      <c r="P19" s="60" t="s">
        <v>242</v>
      </c>
      <c r="Q19" s="60" t="s">
        <v>256</v>
      </c>
      <c r="R19" s="60" t="s">
        <v>244</v>
      </c>
      <c r="S19" s="60" t="s">
        <v>97</v>
      </c>
      <c r="T19" s="60" t="s">
        <v>120</v>
      </c>
      <c r="U19" s="60" t="s">
        <v>97</v>
      </c>
      <c r="V19" s="60" t="s">
        <v>242</v>
      </c>
      <c r="W19" s="60" t="b">
        <v>1</v>
      </c>
    </row>
    <row r="20">
      <c r="B20" s="5" t="s">
        <v>275</v>
      </c>
      <c r="I20" s="18" t="s">
        <v>276</v>
      </c>
      <c r="J20" s="18"/>
      <c r="K20" s="18"/>
      <c r="L20" s="5" t="s">
        <v>157</v>
      </c>
      <c r="O20" s="67" t="s">
        <v>241</v>
      </c>
      <c r="P20" s="67" t="s">
        <v>242</v>
      </c>
      <c r="Q20" s="67" t="s">
        <v>243</v>
      </c>
      <c r="R20" s="67" t="s">
        <v>244</v>
      </c>
      <c r="S20" s="67" t="s">
        <v>97</v>
      </c>
      <c r="T20" s="67" t="s">
        <v>120</v>
      </c>
      <c r="U20" s="67" t="s">
        <v>97</v>
      </c>
      <c r="V20" s="67" t="s">
        <v>242</v>
      </c>
      <c r="W20" s="67" t="b">
        <v>0</v>
      </c>
    </row>
    <row r="21">
      <c r="B21" s="5" t="s">
        <v>275</v>
      </c>
      <c r="I21" s="18" t="s">
        <v>276</v>
      </c>
      <c r="J21" s="18"/>
      <c r="K21" s="18"/>
      <c r="L21" s="5" t="s">
        <v>157</v>
      </c>
      <c r="O21" s="67" t="s">
        <v>241</v>
      </c>
      <c r="P21" s="67" t="s">
        <v>242</v>
      </c>
      <c r="Q21" s="67" t="s">
        <v>243</v>
      </c>
      <c r="R21" s="67" t="s">
        <v>244</v>
      </c>
      <c r="S21" s="67" t="s">
        <v>97</v>
      </c>
      <c r="T21" s="67" t="s">
        <v>120</v>
      </c>
      <c r="U21" s="67" t="s">
        <v>97</v>
      </c>
      <c r="V21" s="67" t="s">
        <v>242</v>
      </c>
      <c r="W21" s="67" t="b">
        <v>0</v>
      </c>
    </row>
    <row r="22">
      <c r="O22" s="60" t="s">
        <v>241</v>
      </c>
      <c r="P22" s="60" t="s">
        <v>242</v>
      </c>
      <c r="Q22" s="60" t="s">
        <v>259</v>
      </c>
      <c r="R22" s="60" t="s">
        <v>244</v>
      </c>
      <c r="S22" s="60" t="s">
        <v>97</v>
      </c>
      <c r="T22" s="60" t="s">
        <v>120</v>
      </c>
      <c r="U22" s="60" t="s">
        <v>97</v>
      </c>
      <c r="V22" s="60" t="s">
        <v>242</v>
      </c>
      <c r="W22" s="60" t="b">
        <v>1</v>
      </c>
    </row>
    <row r="23">
      <c r="O23" s="5" t="s">
        <v>261</v>
      </c>
      <c r="P23" s="5" t="s">
        <v>262</v>
      </c>
    </row>
    <row r="24">
      <c r="U24" s="18" t="s">
        <v>276</v>
      </c>
      <c r="V24" s="18" t="s">
        <v>277</v>
      </c>
      <c r="W24" s="18" t="s">
        <v>278</v>
      </c>
    </row>
    <row r="25">
      <c r="B25" s="60" t="s">
        <v>228</v>
      </c>
      <c r="C25" s="60" t="s">
        <v>229</v>
      </c>
      <c r="D25" s="60" t="s">
        <v>232</v>
      </c>
      <c r="E25" s="60" t="s">
        <v>274</v>
      </c>
      <c r="F25" s="60" t="s">
        <v>235</v>
      </c>
      <c r="G25" s="60" t="s">
        <v>234</v>
      </c>
      <c r="H25" s="60" t="s">
        <v>279</v>
      </c>
      <c r="I25" s="60" t="s">
        <v>236</v>
      </c>
      <c r="J25" s="5"/>
      <c r="K25" s="5"/>
    </row>
    <row r="26">
      <c r="B26" s="68" t="s">
        <v>280</v>
      </c>
      <c r="C26" s="62"/>
      <c r="D26" s="62"/>
      <c r="E26" s="62"/>
      <c r="F26" s="62"/>
      <c r="G26" s="62"/>
      <c r="H26" s="62"/>
      <c r="I26" s="63"/>
      <c r="J26" s="5"/>
      <c r="K26" s="5"/>
      <c r="O26" s="5" t="s">
        <v>263</v>
      </c>
      <c r="P26" s="5" t="s">
        <v>221</v>
      </c>
      <c r="R26" s="5" t="s">
        <v>264</v>
      </c>
      <c r="S26" s="5" t="s">
        <v>222</v>
      </c>
      <c r="U26" s="5" t="s">
        <v>265</v>
      </c>
      <c r="V26" s="5" t="s">
        <v>266</v>
      </c>
    </row>
    <row r="27">
      <c r="B27" s="60" t="s">
        <v>241</v>
      </c>
      <c r="C27" s="60" t="s">
        <v>242</v>
      </c>
      <c r="D27" s="60" t="s">
        <v>244</v>
      </c>
      <c r="E27" s="60" t="s">
        <v>97</v>
      </c>
      <c r="F27" s="60" t="s">
        <v>120</v>
      </c>
      <c r="G27" s="60" t="s">
        <v>97</v>
      </c>
      <c r="H27" s="60" t="s">
        <v>97</v>
      </c>
      <c r="I27" s="60" t="s">
        <v>242</v>
      </c>
      <c r="J27" s="5"/>
      <c r="K27" s="5"/>
      <c r="O27" s="5" t="s">
        <v>269</v>
      </c>
      <c r="P27" s="5" t="s">
        <v>270</v>
      </c>
      <c r="R27" s="5" t="s">
        <v>271</v>
      </c>
      <c r="S27" s="5" t="s">
        <v>272</v>
      </c>
    </row>
    <row r="28">
      <c r="B28" s="60" t="s">
        <v>241</v>
      </c>
      <c r="C28" s="60" t="s">
        <v>242</v>
      </c>
      <c r="D28" s="60" t="s">
        <v>244</v>
      </c>
      <c r="E28" s="60" t="s">
        <v>97</v>
      </c>
      <c r="F28" s="60" t="s">
        <v>120</v>
      </c>
      <c r="G28" s="60" t="s">
        <v>97</v>
      </c>
      <c r="H28" s="60" t="s">
        <v>97</v>
      </c>
      <c r="I28" s="60" t="s">
        <v>242</v>
      </c>
      <c r="J28" s="5"/>
      <c r="K28" s="5"/>
    </row>
    <row r="29">
      <c r="B29" s="60" t="s">
        <v>241</v>
      </c>
      <c r="C29" s="60" t="s">
        <v>242</v>
      </c>
      <c r="D29" s="60" t="s">
        <v>244</v>
      </c>
      <c r="E29" s="60" t="s">
        <v>97</v>
      </c>
      <c r="F29" s="60" t="s">
        <v>120</v>
      </c>
      <c r="G29" s="60" t="s">
        <v>97</v>
      </c>
      <c r="H29" s="60" t="s">
        <v>97</v>
      </c>
      <c r="I29" s="60" t="s">
        <v>242</v>
      </c>
      <c r="J29" s="5"/>
      <c r="K29" s="5"/>
      <c r="O29" s="60" t="s">
        <v>228</v>
      </c>
      <c r="P29" s="60" t="s">
        <v>229</v>
      </c>
      <c r="Q29" s="60" t="s">
        <v>231</v>
      </c>
      <c r="R29" s="60" t="s">
        <v>232</v>
      </c>
      <c r="S29" s="60" t="s">
        <v>274</v>
      </c>
      <c r="T29" s="60" t="s">
        <v>235</v>
      </c>
      <c r="U29" s="60" t="s">
        <v>234</v>
      </c>
      <c r="V29" s="60" t="s">
        <v>236</v>
      </c>
    </row>
    <row r="30">
      <c r="B30" s="60" t="s">
        <v>241</v>
      </c>
      <c r="C30" s="60" t="s">
        <v>242</v>
      </c>
      <c r="D30" s="60" t="s">
        <v>244</v>
      </c>
      <c r="E30" s="60" t="s">
        <v>97</v>
      </c>
      <c r="F30" s="60" t="s">
        <v>120</v>
      </c>
      <c r="G30" s="60" t="s">
        <v>97</v>
      </c>
      <c r="H30" s="60" t="s">
        <v>97</v>
      </c>
      <c r="I30" s="60" t="s">
        <v>242</v>
      </c>
      <c r="J30" s="5"/>
      <c r="K30" s="5"/>
      <c r="O30" s="60" t="s">
        <v>241</v>
      </c>
      <c r="P30" s="60" t="s">
        <v>242</v>
      </c>
      <c r="Q30" s="60" t="s">
        <v>243</v>
      </c>
      <c r="R30" s="60" t="s">
        <v>244</v>
      </c>
      <c r="S30" s="60" t="s">
        <v>97</v>
      </c>
      <c r="T30" s="60" t="s">
        <v>120</v>
      </c>
      <c r="U30" s="60" t="s">
        <v>97</v>
      </c>
      <c r="V30" s="60" t="s">
        <v>242</v>
      </c>
      <c r="W30" s="32"/>
    </row>
    <row r="31">
      <c r="B31" s="60" t="s">
        <v>241</v>
      </c>
      <c r="C31" s="60" t="s">
        <v>242</v>
      </c>
      <c r="D31" s="60" t="s">
        <v>244</v>
      </c>
      <c r="E31" s="60" t="s">
        <v>97</v>
      </c>
      <c r="F31" s="60" t="s">
        <v>120</v>
      </c>
      <c r="G31" s="60" t="s">
        <v>97</v>
      </c>
      <c r="H31" s="60" t="s">
        <v>97</v>
      </c>
      <c r="I31" s="60" t="s">
        <v>242</v>
      </c>
      <c r="J31" s="5"/>
      <c r="K31" s="5"/>
      <c r="O31" s="60" t="s">
        <v>241</v>
      </c>
      <c r="P31" s="60" t="s">
        <v>242</v>
      </c>
      <c r="Q31" s="60" t="s">
        <v>243</v>
      </c>
      <c r="R31" s="60" t="s">
        <v>244</v>
      </c>
      <c r="S31" s="60" t="s">
        <v>97</v>
      </c>
      <c r="T31" s="60" t="s">
        <v>120</v>
      </c>
      <c r="U31" s="60" t="s">
        <v>97</v>
      </c>
      <c r="V31" s="60" t="s">
        <v>242</v>
      </c>
      <c r="W31" s="32"/>
    </row>
    <row r="32">
      <c r="B32" s="60" t="s">
        <v>241</v>
      </c>
      <c r="C32" s="60" t="s">
        <v>242</v>
      </c>
      <c r="D32" s="60" t="s">
        <v>244</v>
      </c>
      <c r="E32" s="60" t="s">
        <v>97</v>
      </c>
      <c r="F32" s="60" t="s">
        <v>120</v>
      </c>
      <c r="G32" s="60" t="s">
        <v>97</v>
      </c>
      <c r="H32" s="60" t="s">
        <v>97</v>
      </c>
      <c r="I32" s="60" t="s">
        <v>242</v>
      </c>
      <c r="J32" s="5"/>
      <c r="K32" s="5"/>
      <c r="O32" s="60" t="s">
        <v>241</v>
      </c>
      <c r="P32" s="60" t="s">
        <v>242</v>
      </c>
      <c r="Q32" s="60" t="s">
        <v>256</v>
      </c>
      <c r="R32" s="60" t="s">
        <v>244</v>
      </c>
      <c r="S32" s="60" t="s">
        <v>97</v>
      </c>
      <c r="T32" s="60" t="s">
        <v>120</v>
      </c>
      <c r="U32" s="60" t="s">
        <v>97</v>
      </c>
      <c r="V32" s="60" t="s">
        <v>242</v>
      </c>
      <c r="W32" s="32"/>
    </row>
    <row r="33">
      <c r="B33" s="68" t="s">
        <v>281</v>
      </c>
      <c r="C33" s="62"/>
      <c r="D33" s="62"/>
      <c r="E33" s="62"/>
      <c r="F33" s="62"/>
      <c r="G33" s="62"/>
      <c r="H33" s="62"/>
      <c r="I33" s="63"/>
      <c r="J33" s="5"/>
      <c r="K33" s="5"/>
      <c r="O33" s="69" t="s">
        <v>241</v>
      </c>
      <c r="P33" s="69" t="s">
        <v>242</v>
      </c>
      <c r="Q33" s="69" t="s">
        <v>243</v>
      </c>
      <c r="R33" s="69" t="s">
        <v>244</v>
      </c>
      <c r="S33" s="69" t="s">
        <v>97</v>
      </c>
      <c r="T33" s="69" t="s">
        <v>120</v>
      </c>
      <c r="U33" s="69" t="s">
        <v>97</v>
      </c>
      <c r="V33" s="69" t="s">
        <v>242</v>
      </c>
      <c r="W33" s="32"/>
    </row>
    <row r="34">
      <c r="B34" s="68" t="s">
        <v>281</v>
      </c>
      <c r="C34" s="62"/>
      <c r="D34" s="62"/>
      <c r="E34" s="62"/>
      <c r="F34" s="62"/>
      <c r="G34" s="62"/>
      <c r="H34" s="62"/>
      <c r="I34" s="63"/>
      <c r="J34" s="5"/>
      <c r="K34" s="5"/>
      <c r="O34" s="69" t="s">
        <v>241</v>
      </c>
      <c r="P34" s="69" t="s">
        <v>242</v>
      </c>
      <c r="Q34" s="69" t="s">
        <v>243</v>
      </c>
      <c r="R34" s="69" t="s">
        <v>244</v>
      </c>
      <c r="S34" s="69" t="s">
        <v>97</v>
      </c>
      <c r="T34" s="69" t="s">
        <v>120</v>
      </c>
      <c r="U34" s="69" t="s">
        <v>97</v>
      </c>
      <c r="V34" s="69" t="s">
        <v>242</v>
      </c>
      <c r="W34" s="32"/>
    </row>
    <row r="35">
      <c r="B35" s="60" t="s">
        <v>241</v>
      </c>
      <c r="C35" s="60" t="s">
        <v>242</v>
      </c>
      <c r="D35" s="60" t="s">
        <v>244</v>
      </c>
      <c r="E35" s="60" t="s">
        <v>97</v>
      </c>
      <c r="F35" s="60" t="s">
        <v>120</v>
      </c>
      <c r="G35" s="60" t="s">
        <v>97</v>
      </c>
      <c r="H35" s="60" t="s">
        <v>97</v>
      </c>
      <c r="I35" s="60" t="s">
        <v>242</v>
      </c>
      <c r="J35" s="5"/>
      <c r="K35" s="5"/>
      <c r="O35" s="60" t="s">
        <v>241</v>
      </c>
      <c r="P35" s="60" t="s">
        <v>242</v>
      </c>
      <c r="Q35" s="60" t="s">
        <v>259</v>
      </c>
      <c r="R35" s="60" t="s">
        <v>244</v>
      </c>
      <c r="S35" s="60" t="s">
        <v>97</v>
      </c>
      <c r="T35" s="60" t="s">
        <v>120</v>
      </c>
      <c r="U35" s="60" t="s">
        <v>97</v>
      </c>
      <c r="V35" s="60" t="s">
        <v>242</v>
      </c>
      <c r="W35" s="32"/>
    </row>
    <row r="36">
      <c r="B36" s="60" t="s">
        <v>241</v>
      </c>
      <c r="C36" s="60" t="s">
        <v>242</v>
      </c>
      <c r="D36" s="60" t="s">
        <v>244</v>
      </c>
      <c r="E36" s="60" t="s">
        <v>97</v>
      </c>
      <c r="F36" s="60" t="s">
        <v>120</v>
      </c>
      <c r="G36" s="60" t="s">
        <v>97</v>
      </c>
      <c r="H36" s="60" t="s">
        <v>97</v>
      </c>
      <c r="I36" s="60" t="s">
        <v>242</v>
      </c>
      <c r="J36" s="5"/>
      <c r="K36" s="5"/>
    </row>
    <row r="37">
      <c r="B37" s="60" t="s">
        <v>241</v>
      </c>
      <c r="C37" s="60" t="s">
        <v>242</v>
      </c>
      <c r="D37" s="60" t="s">
        <v>244</v>
      </c>
      <c r="E37" s="60" t="s">
        <v>97</v>
      </c>
      <c r="F37" s="60" t="s">
        <v>120</v>
      </c>
      <c r="G37" s="60" t="s">
        <v>97</v>
      </c>
      <c r="H37" s="60" t="s">
        <v>97</v>
      </c>
      <c r="I37" s="60" t="s">
        <v>242</v>
      </c>
      <c r="J37" s="5"/>
      <c r="K37" s="5"/>
    </row>
    <row r="39">
      <c r="B39" s="60" t="s">
        <v>228</v>
      </c>
      <c r="C39" s="60" t="s">
        <v>229</v>
      </c>
      <c r="D39" s="60" t="s">
        <v>232</v>
      </c>
      <c r="E39" s="60" t="s">
        <v>274</v>
      </c>
      <c r="F39" s="60" t="s">
        <v>235</v>
      </c>
      <c r="G39" s="60" t="s">
        <v>234</v>
      </c>
      <c r="H39" s="60" t="s">
        <v>279</v>
      </c>
      <c r="I39" s="60" t="s">
        <v>236</v>
      </c>
      <c r="J39" s="5"/>
      <c r="K39" s="5"/>
    </row>
    <row r="40">
      <c r="B40" s="68" t="s">
        <v>282</v>
      </c>
      <c r="C40" s="70"/>
      <c r="D40" s="70"/>
      <c r="E40" s="70"/>
      <c r="F40" s="70"/>
      <c r="G40" s="65" t="s">
        <v>276</v>
      </c>
      <c r="H40" s="65" t="s">
        <v>278</v>
      </c>
      <c r="I40" s="71" t="s">
        <v>283</v>
      </c>
      <c r="J40" s="24"/>
      <c r="K40" s="24"/>
    </row>
    <row r="41">
      <c r="B41" s="60" t="s">
        <v>241</v>
      </c>
      <c r="C41" s="60" t="s">
        <v>242</v>
      </c>
      <c r="D41" s="60" t="s">
        <v>244</v>
      </c>
      <c r="E41" s="60" t="s">
        <v>97</v>
      </c>
      <c r="F41" s="60" t="s">
        <v>120</v>
      </c>
      <c r="G41" s="60" t="s">
        <v>97</v>
      </c>
      <c r="H41" s="60" t="s">
        <v>97</v>
      </c>
      <c r="I41" s="60" t="s">
        <v>242</v>
      </c>
      <c r="J41" s="5"/>
      <c r="K41" s="5"/>
    </row>
    <row r="42">
      <c r="B42" s="60" t="s">
        <v>241</v>
      </c>
      <c r="C42" s="60" t="s">
        <v>242</v>
      </c>
      <c r="D42" s="60" t="s">
        <v>244</v>
      </c>
      <c r="E42" s="60" t="s">
        <v>97</v>
      </c>
      <c r="F42" s="60" t="s">
        <v>120</v>
      </c>
      <c r="G42" s="60" t="s">
        <v>97</v>
      </c>
      <c r="H42" s="60" t="s">
        <v>97</v>
      </c>
      <c r="I42" s="60" t="s">
        <v>242</v>
      </c>
      <c r="J42" s="5"/>
      <c r="K42" s="5"/>
    </row>
    <row r="43">
      <c r="B43" s="60" t="s">
        <v>241</v>
      </c>
      <c r="C43" s="60" t="s">
        <v>242</v>
      </c>
      <c r="D43" s="60" t="s">
        <v>244</v>
      </c>
      <c r="E43" s="60" t="s">
        <v>97</v>
      </c>
      <c r="F43" s="60" t="s">
        <v>120</v>
      </c>
      <c r="G43" s="60" t="s">
        <v>97</v>
      </c>
      <c r="H43" s="60" t="s">
        <v>97</v>
      </c>
      <c r="I43" s="60" t="s">
        <v>242</v>
      </c>
      <c r="J43" s="5"/>
      <c r="K43" s="5"/>
    </row>
    <row r="44">
      <c r="B44" s="60" t="s">
        <v>241</v>
      </c>
      <c r="C44" s="60" t="s">
        <v>242</v>
      </c>
      <c r="D44" s="60" t="s">
        <v>244</v>
      </c>
      <c r="E44" s="60" t="s">
        <v>97</v>
      </c>
      <c r="F44" s="60" t="s">
        <v>120</v>
      </c>
      <c r="G44" s="60" t="s">
        <v>97</v>
      </c>
      <c r="H44" s="60" t="s">
        <v>97</v>
      </c>
      <c r="I44" s="60" t="s">
        <v>242</v>
      </c>
      <c r="J44" s="5"/>
      <c r="K44" s="5"/>
    </row>
    <row r="45">
      <c r="B45" s="60" t="s">
        <v>241</v>
      </c>
      <c r="C45" s="60" t="s">
        <v>242</v>
      </c>
      <c r="D45" s="60" t="s">
        <v>244</v>
      </c>
      <c r="E45" s="60" t="s">
        <v>97</v>
      </c>
      <c r="F45" s="60" t="s">
        <v>120</v>
      </c>
      <c r="G45" s="60" t="s">
        <v>97</v>
      </c>
      <c r="H45" s="60" t="s">
        <v>97</v>
      </c>
      <c r="I45" s="60" t="s">
        <v>242</v>
      </c>
      <c r="J45" s="5"/>
      <c r="K45" s="5"/>
    </row>
    <row r="46">
      <c r="B46" s="60" t="s">
        <v>241</v>
      </c>
      <c r="C46" s="60" t="s">
        <v>242</v>
      </c>
      <c r="D46" s="60" t="s">
        <v>244</v>
      </c>
      <c r="E46" s="60" t="s">
        <v>97</v>
      </c>
      <c r="F46" s="60" t="s">
        <v>120</v>
      </c>
      <c r="G46" s="60" t="s">
        <v>97</v>
      </c>
      <c r="H46" s="60" t="s">
        <v>97</v>
      </c>
      <c r="I46" s="60" t="s">
        <v>242</v>
      </c>
      <c r="J46" s="5"/>
      <c r="K46" s="5"/>
    </row>
    <row r="47">
      <c r="B47" s="68" t="s">
        <v>282</v>
      </c>
      <c r="C47" s="62"/>
      <c r="D47" s="62"/>
      <c r="E47" s="62"/>
      <c r="F47" s="62"/>
      <c r="G47" s="62"/>
      <c r="H47" s="63"/>
      <c r="I47" s="71" t="s">
        <v>144</v>
      </c>
      <c r="J47" s="24"/>
      <c r="K47" s="24"/>
    </row>
    <row r="48">
      <c r="B48" s="60" t="s">
        <v>241</v>
      </c>
      <c r="C48" s="60" t="s">
        <v>242</v>
      </c>
      <c r="D48" s="60" t="s">
        <v>244</v>
      </c>
      <c r="E48" s="60" t="s">
        <v>97</v>
      </c>
      <c r="F48" s="60" t="s">
        <v>120</v>
      </c>
      <c r="G48" s="60" t="s">
        <v>97</v>
      </c>
      <c r="H48" s="60" t="s">
        <v>97</v>
      </c>
      <c r="I48" s="60" t="s">
        <v>242</v>
      </c>
      <c r="J48" s="5"/>
      <c r="K48" s="5"/>
    </row>
    <row r="49">
      <c r="B49" s="60" t="s">
        <v>241</v>
      </c>
      <c r="C49" s="60" t="s">
        <v>242</v>
      </c>
      <c r="D49" s="60" t="s">
        <v>244</v>
      </c>
      <c r="E49" s="60" t="s">
        <v>97</v>
      </c>
      <c r="F49" s="60" t="s">
        <v>120</v>
      </c>
      <c r="G49" s="60" t="s">
        <v>97</v>
      </c>
      <c r="H49" s="60" t="s">
        <v>97</v>
      </c>
      <c r="I49" s="60" t="s">
        <v>242</v>
      </c>
      <c r="J49" s="5"/>
      <c r="K49" s="5"/>
    </row>
    <row r="50">
      <c r="B50" s="60" t="s">
        <v>241</v>
      </c>
      <c r="C50" s="60" t="s">
        <v>242</v>
      </c>
      <c r="D50" s="60" t="s">
        <v>244</v>
      </c>
      <c r="E50" s="60" t="s">
        <v>97</v>
      </c>
      <c r="F50" s="60" t="s">
        <v>120</v>
      </c>
      <c r="G50" s="60" t="s">
        <v>97</v>
      </c>
      <c r="H50" s="60" t="s">
        <v>97</v>
      </c>
      <c r="I50" s="60" t="s">
        <v>242</v>
      </c>
      <c r="J50" s="5"/>
      <c r="K50" s="5"/>
    </row>
    <row r="52">
      <c r="B52" s="60" t="s">
        <v>228</v>
      </c>
      <c r="C52" s="60" t="s">
        <v>229</v>
      </c>
      <c r="D52" s="60" t="s">
        <v>231</v>
      </c>
      <c r="E52" s="60" t="s">
        <v>232</v>
      </c>
      <c r="F52" s="60" t="s">
        <v>274</v>
      </c>
      <c r="G52" s="60" t="s">
        <v>235</v>
      </c>
      <c r="H52" s="60" t="s">
        <v>234</v>
      </c>
      <c r="I52" s="60" t="s">
        <v>236</v>
      </c>
      <c r="J52" s="60"/>
      <c r="K52" s="60"/>
      <c r="L52" s="60" t="s">
        <v>51</v>
      </c>
    </row>
    <row r="53">
      <c r="B53" s="68" t="s">
        <v>282</v>
      </c>
      <c r="C53" s="70"/>
      <c r="D53" s="70"/>
      <c r="E53" s="70"/>
      <c r="F53" s="70"/>
      <c r="H53" s="65" t="s">
        <v>276</v>
      </c>
      <c r="I53" s="65" t="s">
        <v>278</v>
      </c>
      <c r="J53" s="18"/>
      <c r="K53" s="18"/>
    </row>
    <row r="54">
      <c r="B54" s="60" t="s">
        <v>241</v>
      </c>
      <c r="C54" s="60" t="s">
        <v>242</v>
      </c>
      <c r="D54" s="60" t="s">
        <v>243</v>
      </c>
      <c r="E54" s="60" t="s">
        <v>244</v>
      </c>
      <c r="F54" s="60" t="s">
        <v>97</v>
      </c>
      <c r="G54" s="60" t="s">
        <v>120</v>
      </c>
      <c r="H54" s="60" t="s">
        <v>97</v>
      </c>
      <c r="I54" s="60" t="s">
        <v>242</v>
      </c>
      <c r="J54" s="60"/>
      <c r="K54" s="60"/>
      <c r="L54" s="60" t="b">
        <v>1</v>
      </c>
    </row>
    <row r="55">
      <c r="B55" s="60" t="s">
        <v>241</v>
      </c>
      <c r="C55" s="60" t="s">
        <v>242</v>
      </c>
      <c r="D55" s="60" t="s">
        <v>243</v>
      </c>
      <c r="E55" s="60" t="s">
        <v>244</v>
      </c>
      <c r="F55" s="60" t="s">
        <v>97</v>
      </c>
      <c r="G55" s="60" t="s">
        <v>120</v>
      </c>
      <c r="H55" s="60" t="s">
        <v>97</v>
      </c>
      <c r="I55" s="60" t="s">
        <v>242</v>
      </c>
      <c r="J55" s="60"/>
      <c r="K55" s="60"/>
      <c r="L55" s="60" t="b">
        <v>1</v>
      </c>
    </row>
    <row r="56">
      <c r="B56" s="60" t="s">
        <v>241</v>
      </c>
      <c r="C56" s="60" t="s">
        <v>242</v>
      </c>
      <c r="D56" s="60" t="s">
        <v>256</v>
      </c>
      <c r="E56" s="60" t="s">
        <v>244</v>
      </c>
      <c r="F56" s="60" t="s">
        <v>97</v>
      </c>
      <c r="G56" s="60" t="s">
        <v>120</v>
      </c>
      <c r="H56" s="60" t="s">
        <v>97</v>
      </c>
      <c r="I56" s="60" t="s">
        <v>242</v>
      </c>
      <c r="J56" s="60"/>
      <c r="K56" s="60"/>
      <c r="L56" s="60" t="b">
        <v>1</v>
      </c>
    </row>
    <row r="57">
      <c r="B57" s="67" t="s">
        <v>241</v>
      </c>
      <c r="C57" s="67" t="s">
        <v>242</v>
      </c>
      <c r="D57" s="67" t="s">
        <v>243</v>
      </c>
      <c r="E57" s="67" t="s">
        <v>244</v>
      </c>
      <c r="F57" s="67" t="s">
        <v>97</v>
      </c>
      <c r="G57" s="67" t="s">
        <v>120</v>
      </c>
      <c r="H57" s="67" t="s">
        <v>97</v>
      </c>
      <c r="I57" s="67" t="s">
        <v>242</v>
      </c>
      <c r="J57" s="67"/>
      <c r="K57" s="67"/>
      <c r="L57" s="67" t="b">
        <v>0</v>
      </c>
    </row>
    <row r="58">
      <c r="B58" s="67" t="s">
        <v>241</v>
      </c>
      <c r="C58" s="67" t="s">
        <v>242</v>
      </c>
      <c r="D58" s="67" t="s">
        <v>243</v>
      </c>
      <c r="E58" s="67" t="s">
        <v>244</v>
      </c>
      <c r="F58" s="67" t="s">
        <v>97</v>
      </c>
      <c r="G58" s="67" t="s">
        <v>120</v>
      </c>
      <c r="H58" s="67" t="s">
        <v>97</v>
      </c>
      <c r="I58" s="67" t="s">
        <v>242</v>
      </c>
      <c r="J58" s="67"/>
      <c r="K58" s="67"/>
      <c r="L58" s="67" t="b">
        <v>0</v>
      </c>
    </row>
    <row r="59">
      <c r="B59" s="60" t="s">
        <v>241</v>
      </c>
      <c r="C59" s="60" t="s">
        <v>242</v>
      </c>
      <c r="D59" s="60" t="s">
        <v>259</v>
      </c>
      <c r="E59" s="60" t="s">
        <v>244</v>
      </c>
      <c r="F59" s="60" t="s">
        <v>97</v>
      </c>
      <c r="G59" s="60" t="s">
        <v>120</v>
      </c>
      <c r="H59" s="60" t="s">
        <v>97</v>
      </c>
      <c r="I59" s="60" t="s">
        <v>242</v>
      </c>
      <c r="J59" s="60"/>
      <c r="K59" s="60"/>
      <c r="L59" s="60" t="b">
        <v>1</v>
      </c>
    </row>
  </sheetData>
  <mergeCells count="11">
    <mergeCell ref="B26:I26"/>
    <mergeCell ref="B33:I33"/>
    <mergeCell ref="B34:I34"/>
    <mergeCell ref="B47:H47"/>
    <mergeCell ref="B5:L5"/>
    <mergeCell ref="I14:J14"/>
    <mergeCell ref="K14:L14"/>
    <mergeCell ref="B18:H18"/>
    <mergeCell ref="B19:H19"/>
    <mergeCell ref="B20:H20"/>
    <mergeCell ref="B21:H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6.25"/>
    <col customWidth="1" min="3" max="3" width="15.0"/>
    <col customWidth="1" min="4" max="4" width="17.88"/>
    <col customWidth="1" min="5" max="5" width="14.75"/>
    <col customWidth="1" min="8" max="8" width="14.75"/>
    <col customWidth="1" min="11" max="11" width="17.25"/>
    <col customWidth="1" min="19" max="19" width="8.0"/>
    <col customWidth="1" min="21" max="21" width="15.63"/>
    <col customWidth="1" min="22" max="22" width="17.0"/>
    <col customWidth="1" min="23" max="23" width="14.25"/>
  </cols>
  <sheetData>
    <row r="3">
      <c r="C3" s="5" t="s">
        <v>284</v>
      </c>
      <c r="D3" s="5" t="s">
        <v>68</v>
      </c>
      <c r="E3" s="5" t="s">
        <v>285</v>
      </c>
      <c r="F3" s="5" t="s">
        <v>109</v>
      </c>
      <c r="G3" s="5" t="s">
        <v>31</v>
      </c>
      <c r="H3" s="5" t="s">
        <v>286</v>
      </c>
    </row>
    <row r="5">
      <c r="S5" s="61" t="s">
        <v>287</v>
      </c>
      <c r="T5" s="62"/>
      <c r="U5" s="62"/>
      <c r="V5" s="62"/>
      <c r="W5" s="63"/>
    </row>
    <row r="6">
      <c r="I6" s="5" t="s">
        <v>288</v>
      </c>
      <c r="S6" s="4" t="s">
        <v>289</v>
      </c>
      <c r="U6" s="5" t="s">
        <v>68</v>
      </c>
      <c r="V6" s="5" t="s">
        <v>290</v>
      </c>
      <c r="W6" s="72" t="s">
        <v>291</v>
      </c>
    </row>
    <row r="7">
      <c r="A7" s="60" t="s">
        <v>127</v>
      </c>
      <c r="B7" s="60" t="s">
        <v>292</v>
      </c>
      <c r="C7" s="60" t="s">
        <v>293</v>
      </c>
      <c r="D7" s="60" t="s">
        <v>294</v>
      </c>
      <c r="E7" s="60" t="s">
        <v>295</v>
      </c>
      <c r="F7" s="60" t="s">
        <v>0</v>
      </c>
      <c r="I7" s="5" t="s">
        <v>296</v>
      </c>
      <c r="J7" s="5" t="s">
        <v>297</v>
      </c>
      <c r="K7" s="5" t="s">
        <v>298</v>
      </c>
      <c r="L7" s="5" t="s">
        <v>299</v>
      </c>
      <c r="M7" s="5" t="s">
        <v>121</v>
      </c>
      <c r="N7" s="5" t="s">
        <v>122</v>
      </c>
      <c r="O7" s="5" t="s">
        <v>0</v>
      </c>
      <c r="S7" s="68" t="s">
        <v>300</v>
      </c>
      <c r="T7" s="62"/>
      <c r="U7" s="62"/>
      <c r="V7" s="62"/>
      <c r="W7" s="63"/>
    </row>
    <row r="8">
      <c r="A8" s="68" t="s">
        <v>301</v>
      </c>
      <c r="B8" s="62"/>
      <c r="C8" s="62"/>
      <c r="D8" s="62"/>
      <c r="E8" s="62"/>
      <c r="F8" s="63"/>
      <c r="I8" s="73" t="s">
        <v>302</v>
      </c>
      <c r="J8" s="5" t="s">
        <v>303</v>
      </c>
      <c r="K8" s="23" t="b">
        <v>1</v>
      </c>
      <c r="L8" s="5" t="s">
        <v>209</v>
      </c>
      <c r="M8" s="5" t="s">
        <v>209</v>
      </c>
      <c r="N8" s="5" t="s">
        <v>209</v>
      </c>
      <c r="O8" s="53" t="s">
        <v>25</v>
      </c>
      <c r="S8" s="4" t="s">
        <v>304</v>
      </c>
      <c r="U8" s="5" t="s">
        <v>97</v>
      </c>
      <c r="W8" s="3"/>
    </row>
    <row r="9">
      <c r="A9" s="60">
        <v>1.0</v>
      </c>
      <c r="B9" s="60" t="s">
        <v>305</v>
      </c>
      <c r="C9" s="60" t="s">
        <v>306</v>
      </c>
      <c r="D9" s="74">
        <v>38025.0</v>
      </c>
      <c r="E9" s="64" t="s">
        <v>307</v>
      </c>
      <c r="F9" s="60" t="s">
        <v>147</v>
      </c>
      <c r="I9" s="5" t="s">
        <v>308</v>
      </c>
      <c r="J9" s="5" t="s">
        <v>309</v>
      </c>
      <c r="K9" s="1" t="b">
        <v>0</v>
      </c>
      <c r="L9" s="53" t="s">
        <v>310</v>
      </c>
      <c r="M9" s="53" t="s">
        <v>5</v>
      </c>
      <c r="N9" s="53" t="s">
        <v>310</v>
      </c>
      <c r="O9" s="53" t="s">
        <v>25</v>
      </c>
      <c r="P9" s="53" t="s">
        <v>29</v>
      </c>
      <c r="S9" s="4" t="s">
        <v>311</v>
      </c>
      <c r="U9" s="5" t="s">
        <v>211</v>
      </c>
      <c r="V9" s="5" t="s">
        <v>312</v>
      </c>
      <c r="W9" s="72" t="s">
        <v>211</v>
      </c>
    </row>
    <row r="10">
      <c r="P10" s="53" t="s">
        <v>29</v>
      </c>
      <c r="S10" s="68" t="s">
        <v>313</v>
      </c>
      <c r="T10" s="62"/>
      <c r="U10" s="62"/>
      <c r="V10" s="62"/>
      <c r="W10" s="63"/>
    </row>
    <row r="11">
      <c r="P11" s="53" t="s">
        <v>29</v>
      </c>
      <c r="S11" s="4" t="s">
        <v>314</v>
      </c>
      <c r="U11" s="53" t="s">
        <v>29</v>
      </c>
      <c r="W11" s="3"/>
    </row>
    <row r="12">
      <c r="S12" s="4" t="s">
        <v>315</v>
      </c>
      <c r="U12" s="53" t="s">
        <v>316</v>
      </c>
      <c r="W12" s="3"/>
    </row>
    <row r="13">
      <c r="C13" s="5" t="s">
        <v>284</v>
      </c>
      <c r="D13" s="5" t="s">
        <v>68</v>
      </c>
      <c r="E13" s="5" t="s">
        <v>285</v>
      </c>
      <c r="F13" s="5" t="s">
        <v>109</v>
      </c>
      <c r="G13" s="5" t="s">
        <v>317</v>
      </c>
      <c r="H13" s="5" t="s">
        <v>145</v>
      </c>
      <c r="K13" s="5" t="s">
        <v>318</v>
      </c>
      <c r="M13" s="5" t="s">
        <v>319</v>
      </c>
      <c r="S13" s="75" t="b">
        <v>0</v>
      </c>
      <c r="T13" s="5" t="s">
        <v>320</v>
      </c>
      <c r="W13" s="3"/>
    </row>
    <row r="14">
      <c r="C14" s="5" t="s">
        <v>142</v>
      </c>
      <c r="D14" s="5" t="s">
        <v>16</v>
      </c>
      <c r="E14" s="5" t="s">
        <v>321</v>
      </c>
      <c r="F14" s="5" t="s">
        <v>142</v>
      </c>
      <c r="G14" s="5" t="s">
        <v>20</v>
      </c>
      <c r="K14" s="5" t="s">
        <v>322</v>
      </c>
      <c r="S14" s="75" t="b">
        <v>0</v>
      </c>
      <c r="T14" s="5" t="s">
        <v>323</v>
      </c>
      <c r="W14" s="3"/>
    </row>
    <row r="15">
      <c r="C15" s="5" t="s">
        <v>324</v>
      </c>
      <c r="D15" s="5" t="s">
        <v>187</v>
      </c>
      <c r="E15" s="5" t="s">
        <v>325</v>
      </c>
      <c r="F15" s="5" t="s">
        <v>111</v>
      </c>
      <c r="G15" s="5" t="s">
        <v>326</v>
      </c>
      <c r="H15" s="5" t="s">
        <v>327</v>
      </c>
      <c r="S15" s="75" t="b">
        <v>0</v>
      </c>
      <c r="T15" s="5" t="s">
        <v>328</v>
      </c>
      <c r="W15" s="3"/>
    </row>
    <row r="16">
      <c r="C16" s="16" t="s">
        <v>145</v>
      </c>
      <c r="D16" s="20"/>
      <c r="E16" s="20"/>
      <c r="F16" s="20"/>
      <c r="G16" s="20"/>
      <c r="H16" s="20"/>
      <c r="K16" s="5" t="s">
        <v>68</v>
      </c>
      <c r="L16" s="5" t="s">
        <v>285</v>
      </c>
      <c r="M16" s="5" t="s">
        <v>109</v>
      </c>
      <c r="N16" s="5" t="s">
        <v>317</v>
      </c>
      <c r="O16" s="5" t="s">
        <v>50</v>
      </c>
      <c r="S16" s="76" t="b">
        <v>1</v>
      </c>
      <c r="T16" s="5" t="s">
        <v>329</v>
      </c>
      <c r="U16" s="53" t="s">
        <v>316</v>
      </c>
      <c r="W16" s="3"/>
    </row>
    <row r="17" ht="20.25" customHeight="1">
      <c r="C17" s="16" t="s">
        <v>330</v>
      </c>
      <c r="D17" s="16" t="s">
        <v>319</v>
      </c>
      <c r="E17" s="16" t="s">
        <v>50</v>
      </c>
      <c r="F17" s="16" t="s">
        <v>0</v>
      </c>
      <c r="G17" s="16" t="s">
        <v>331</v>
      </c>
      <c r="H17" s="20"/>
      <c r="K17" s="5" t="s">
        <v>16</v>
      </c>
      <c r="L17" s="5" t="s">
        <v>321</v>
      </c>
      <c r="M17" s="5" t="s">
        <v>142</v>
      </c>
      <c r="N17" s="5" t="s">
        <v>20</v>
      </c>
      <c r="S17" s="77"/>
      <c r="W17" s="78"/>
    </row>
    <row r="18">
      <c r="C18" s="16" t="s">
        <v>211</v>
      </c>
      <c r="D18" s="16" t="s">
        <v>211</v>
      </c>
      <c r="E18" s="16" t="s">
        <v>98</v>
      </c>
      <c r="F18" s="16" t="s">
        <v>147</v>
      </c>
      <c r="G18" s="16" t="s">
        <v>332</v>
      </c>
      <c r="H18" s="20"/>
      <c r="K18" s="5" t="s">
        <v>333</v>
      </c>
      <c r="L18" s="5" t="s">
        <v>325</v>
      </c>
      <c r="M18" s="5" t="s">
        <v>111</v>
      </c>
      <c r="N18" s="5" t="s">
        <v>326</v>
      </c>
      <c r="O18" s="5" t="s">
        <v>209</v>
      </c>
      <c r="S18" s="76" t="b">
        <v>1</v>
      </c>
      <c r="T18" s="5" t="s">
        <v>334</v>
      </c>
      <c r="W18" s="3"/>
    </row>
    <row r="19">
      <c r="C19" s="5" t="s">
        <v>324</v>
      </c>
      <c r="D19" s="5" t="s">
        <v>333</v>
      </c>
      <c r="E19" s="5" t="s">
        <v>325</v>
      </c>
      <c r="F19" s="5" t="s">
        <v>111</v>
      </c>
      <c r="G19" s="5" t="s">
        <v>326</v>
      </c>
      <c r="H19" s="5" t="s">
        <v>335</v>
      </c>
      <c r="K19" s="5" t="s">
        <v>336</v>
      </c>
      <c r="L19" s="5" t="s">
        <v>325</v>
      </c>
      <c r="M19" s="5" t="s">
        <v>111</v>
      </c>
      <c r="N19" s="5" t="s">
        <v>326</v>
      </c>
      <c r="O19" s="5" t="s">
        <v>209</v>
      </c>
      <c r="S19" s="79"/>
      <c r="T19" s="5" t="s">
        <v>311</v>
      </c>
      <c r="U19" s="24" t="s">
        <v>337</v>
      </c>
      <c r="V19" s="5" t="s">
        <v>312</v>
      </c>
      <c r="W19" s="80" t="s">
        <v>337</v>
      </c>
    </row>
    <row r="20">
      <c r="C20" s="5" t="s">
        <v>338</v>
      </c>
      <c r="D20" s="5" t="s">
        <v>336</v>
      </c>
      <c r="E20" s="5" t="s">
        <v>325</v>
      </c>
      <c r="F20" s="5" t="s">
        <v>111</v>
      </c>
      <c r="G20" s="5" t="s">
        <v>326</v>
      </c>
      <c r="H20" s="5" t="s">
        <v>339</v>
      </c>
      <c r="K20" s="5" t="s">
        <v>187</v>
      </c>
      <c r="L20" s="5" t="s">
        <v>325</v>
      </c>
      <c r="M20" s="5" t="s">
        <v>111</v>
      </c>
      <c r="N20" s="5" t="s">
        <v>326</v>
      </c>
      <c r="O20" s="5" t="s">
        <v>209</v>
      </c>
      <c r="S20" s="81"/>
      <c r="T20" s="13"/>
      <c r="U20" s="13"/>
      <c r="V20" s="82" t="s">
        <v>267</v>
      </c>
      <c r="W20" s="83" t="s">
        <v>340</v>
      </c>
    </row>
    <row r="22">
      <c r="I22" s="84"/>
    </row>
    <row r="23">
      <c r="S23" s="61" t="s">
        <v>287</v>
      </c>
      <c r="T23" s="62"/>
      <c r="U23" s="62"/>
      <c r="V23" s="62"/>
      <c r="W23" s="63"/>
    </row>
    <row r="24">
      <c r="S24" s="4" t="s">
        <v>289</v>
      </c>
      <c r="U24" s="5" t="s">
        <v>68</v>
      </c>
      <c r="V24" s="5" t="s">
        <v>290</v>
      </c>
      <c r="W24" s="72" t="s">
        <v>291</v>
      </c>
    </row>
    <row r="25">
      <c r="S25" s="85" t="s">
        <v>300</v>
      </c>
      <c r="T25" s="86"/>
      <c r="U25" s="86"/>
      <c r="V25" s="86"/>
      <c r="W25" s="87"/>
    </row>
    <row r="26">
      <c r="S26" s="88" t="s">
        <v>341</v>
      </c>
      <c r="T26" s="89"/>
      <c r="U26" s="90" t="s">
        <v>342</v>
      </c>
      <c r="V26" s="90" t="s">
        <v>343</v>
      </c>
      <c r="W26" s="90" t="s">
        <v>331</v>
      </c>
    </row>
    <row r="27">
      <c r="S27" s="88" t="s">
        <v>98</v>
      </c>
      <c r="T27" s="89"/>
      <c r="U27" s="90" t="s">
        <v>211</v>
      </c>
      <c r="V27" s="90" t="s">
        <v>211</v>
      </c>
      <c r="W27" s="90" t="s">
        <v>344</v>
      </c>
    </row>
    <row r="28">
      <c r="S28" s="88" t="s">
        <v>98</v>
      </c>
      <c r="T28" s="89"/>
      <c r="U28" s="90" t="s">
        <v>211</v>
      </c>
      <c r="V28" s="90" t="s">
        <v>211</v>
      </c>
      <c r="W28" s="90" t="s">
        <v>345</v>
      </c>
    </row>
    <row r="29">
      <c r="S29" s="88" t="s">
        <v>98</v>
      </c>
      <c r="T29" s="89"/>
      <c r="U29" s="90" t="s">
        <v>211</v>
      </c>
      <c r="V29" s="90" t="s">
        <v>211</v>
      </c>
      <c r="W29" s="90" t="s">
        <v>346</v>
      </c>
    </row>
    <row r="30">
      <c r="S30" s="12" t="s">
        <v>313</v>
      </c>
      <c r="T30" s="91"/>
      <c r="U30" s="91"/>
      <c r="V30" s="91"/>
      <c r="W30" s="92"/>
    </row>
    <row r="31">
      <c r="S31" s="4" t="s">
        <v>314</v>
      </c>
      <c r="U31" s="53" t="s">
        <v>29</v>
      </c>
      <c r="V31" s="5" t="s">
        <v>311</v>
      </c>
      <c r="W31" s="80" t="s">
        <v>337</v>
      </c>
    </row>
    <row r="32">
      <c r="S32" s="4" t="s">
        <v>315</v>
      </c>
      <c r="U32" s="53" t="s">
        <v>316</v>
      </c>
      <c r="V32" s="5" t="s">
        <v>312</v>
      </c>
      <c r="W32" s="80" t="s">
        <v>337</v>
      </c>
    </row>
    <row r="33">
      <c r="S33" s="75" t="b">
        <v>0</v>
      </c>
      <c r="T33" s="5" t="s">
        <v>320</v>
      </c>
      <c r="W33" s="3"/>
    </row>
    <row r="34">
      <c r="S34" s="75" t="b">
        <v>0</v>
      </c>
      <c r="T34" s="5" t="s">
        <v>323</v>
      </c>
      <c r="W34" s="3"/>
    </row>
    <row r="35">
      <c r="S35" s="75" t="b">
        <v>0</v>
      </c>
      <c r="T35" s="5" t="s">
        <v>328</v>
      </c>
      <c r="W35" s="3"/>
    </row>
    <row r="36">
      <c r="S36" s="93" t="b">
        <v>1</v>
      </c>
      <c r="T36" s="94" t="s">
        <v>329</v>
      </c>
      <c r="U36" s="95" t="s">
        <v>316</v>
      </c>
      <c r="V36" s="13"/>
      <c r="W36" s="14"/>
    </row>
    <row r="37">
      <c r="S37" s="81"/>
      <c r="T37" s="13"/>
      <c r="U37" s="13"/>
      <c r="V37" s="65" t="s">
        <v>267</v>
      </c>
      <c r="W37" s="65" t="s">
        <v>340</v>
      </c>
    </row>
  </sheetData>
  <mergeCells count="16">
    <mergeCell ref="S5:W5"/>
    <mergeCell ref="S6:T6"/>
    <mergeCell ref="S7:W7"/>
    <mergeCell ref="A8:F8"/>
    <mergeCell ref="S10:W10"/>
    <mergeCell ref="S12:T12"/>
    <mergeCell ref="S17:W17"/>
    <mergeCell ref="S29:T29"/>
    <mergeCell ref="S32:T32"/>
    <mergeCell ref="S23:W23"/>
    <mergeCell ref="S24:T24"/>
    <mergeCell ref="S25:W25"/>
    <mergeCell ref="S26:T26"/>
    <mergeCell ref="S27:T27"/>
    <mergeCell ref="S28:T28"/>
    <mergeCell ref="S30:W3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6.63"/>
    <col customWidth="1" min="3" max="3" width="23.13"/>
    <col customWidth="1" min="4" max="4" width="22.5"/>
    <col customWidth="1" min="5" max="5" width="24.38"/>
    <col customWidth="1" min="6" max="6" width="11.63"/>
    <col customWidth="1" min="7" max="7" width="16.88"/>
    <col customWidth="1" min="8" max="8" width="15.13"/>
    <col customWidth="1" min="9" max="9" width="15.25"/>
    <col customWidth="1" min="13" max="13" width="14.63"/>
  </cols>
  <sheetData>
    <row r="1">
      <c r="D1" s="1"/>
      <c r="E1" s="96"/>
      <c r="I1" s="2" t="s">
        <v>0</v>
      </c>
      <c r="M1" s="3"/>
    </row>
    <row r="2">
      <c r="D2" s="1"/>
      <c r="E2" s="15" t="s">
        <v>2</v>
      </c>
      <c r="I2" s="4" t="s">
        <v>1</v>
      </c>
      <c r="M2" s="3"/>
    </row>
    <row r="3">
      <c r="D3" s="1"/>
      <c r="E3" s="15" t="s">
        <v>3</v>
      </c>
      <c r="I3" s="6"/>
      <c r="M3" s="3"/>
    </row>
    <row r="4">
      <c r="D4" s="1"/>
      <c r="E4" s="15" t="s">
        <v>4</v>
      </c>
      <c r="I4" s="7"/>
      <c r="M4" s="3"/>
    </row>
    <row r="5">
      <c r="D5" s="1"/>
      <c r="E5" s="97" t="s">
        <v>6</v>
      </c>
      <c r="I5" s="8" t="s">
        <v>5</v>
      </c>
      <c r="J5" s="9"/>
      <c r="K5" s="9"/>
      <c r="L5" s="9"/>
      <c r="M5" s="10"/>
    </row>
    <row r="6">
      <c r="D6" s="1"/>
      <c r="E6" s="96"/>
      <c r="I6" s="4" t="s">
        <v>7</v>
      </c>
      <c r="M6" s="3"/>
    </row>
    <row r="7">
      <c r="B7" s="11" t="s">
        <v>8</v>
      </c>
      <c r="D7" s="1"/>
      <c r="E7" s="98"/>
      <c r="I7" s="12" t="s">
        <v>9</v>
      </c>
      <c r="J7" s="13"/>
      <c r="K7" s="13"/>
      <c r="L7" s="13"/>
      <c r="M7" s="14"/>
    </row>
    <row r="8">
      <c r="B8" s="5" t="s">
        <v>10</v>
      </c>
      <c r="C8" s="5">
        <v>25.0</v>
      </c>
      <c r="D8" s="1"/>
      <c r="E8" s="96"/>
      <c r="F8" s="5" t="s">
        <v>11</v>
      </c>
      <c r="H8" s="5">
        <v>10.0</v>
      </c>
    </row>
    <row r="9">
      <c r="B9" s="5" t="s">
        <v>12</v>
      </c>
      <c r="C9" s="5">
        <v>15.0</v>
      </c>
      <c r="D9" s="1"/>
      <c r="E9" s="96"/>
      <c r="F9" s="5" t="s">
        <v>13</v>
      </c>
      <c r="H9" s="5">
        <v>15.0</v>
      </c>
    </row>
    <row r="10">
      <c r="D10" s="1"/>
      <c r="E10" s="96"/>
    </row>
    <row r="11">
      <c r="B11" s="11" t="s">
        <v>14</v>
      </c>
      <c r="D11" s="1"/>
      <c r="E11" s="96"/>
    </row>
    <row r="12">
      <c r="B12" s="5" t="s">
        <v>19</v>
      </c>
      <c r="C12" s="5" t="s">
        <v>18</v>
      </c>
      <c r="D12" s="23" t="s">
        <v>50</v>
      </c>
      <c r="E12" s="15" t="s">
        <v>129</v>
      </c>
      <c r="F12" s="5" t="s">
        <v>347</v>
      </c>
      <c r="H12" s="5" t="s">
        <v>348</v>
      </c>
      <c r="I12" s="5" t="s">
        <v>51</v>
      </c>
    </row>
    <row r="13">
      <c r="B13" s="5" t="s">
        <v>15</v>
      </c>
      <c r="C13" s="5"/>
      <c r="D13" s="5"/>
      <c r="E13" s="15"/>
      <c r="F13" s="5"/>
      <c r="G13" s="5"/>
      <c r="H13" s="5"/>
      <c r="I13" s="5"/>
    </row>
    <row r="14">
      <c r="B14" s="5" t="s">
        <v>16</v>
      </c>
      <c r="C14" s="53" t="s">
        <v>349</v>
      </c>
      <c r="D14" s="53" t="s">
        <v>29</v>
      </c>
      <c r="E14" s="15">
        <v>1.0</v>
      </c>
      <c r="F14" s="53" t="s">
        <v>350</v>
      </c>
      <c r="H14" s="15" t="s">
        <v>351</v>
      </c>
    </row>
    <row r="15">
      <c r="B15" s="5" t="s">
        <v>30</v>
      </c>
      <c r="C15" s="53" t="s">
        <v>349</v>
      </c>
      <c r="D15" s="53" t="s">
        <v>29</v>
      </c>
      <c r="E15" s="15">
        <v>1.0</v>
      </c>
      <c r="F15" s="53" t="s">
        <v>350</v>
      </c>
      <c r="H15" s="21" t="s">
        <v>351</v>
      </c>
    </row>
    <row r="16">
      <c r="B16" s="5" t="s">
        <v>37</v>
      </c>
      <c r="C16" s="5"/>
      <c r="D16" s="5"/>
      <c r="E16" s="96"/>
      <c r="F16" s="5"/>
      <c r="G16" s="5"/>
      <c r="H16" s="5"/>
    </row>
    <row r="17">
      <c r="B17" s="99" t="s">
        <v>352</v>
      </c>
      <c r="C17" s="53" t="s">
        <v>349</v>
      </c>
      <c r="D17" s="5" t="s">
        <v>353</v>
      </c>
      <c r="E17" s="15" t="s">
        <v>354</v>
      </c>
      <c r="F17" s="53" t="s">
        <v>350</v>
      </c>
      <c r="H17" s="5" t="s">
        <v>355</v>
      </c>
      <c r="I17" s="5" t="s">
        <v>148</v>
      </c>
    </row>
    <row r="18">
      <c r="B18" s="5" t="s">
        <v>67</v>
      </c>
      <c r="C18" s="5"/>
      <c r="D18" s="5"/>
      <c r="E18" s="15"/>
      <c r="F18" s="5"/>
      <c r="G18" s="5"/>
      <c r="H18" s="5"/>
      <c r="I18" s="5"/>
    </row>
    <row r="19">
      <c r="B19" s="53" t="s">
        <v>356</v>
      </c>
      <c r="C19" s="5" t="s">
        <v>357</v>
      </c>
      <c r="D19" s="5" t="s">
        <v>358</v>
      </c>
      <c r="E19" s="15" t="s">
        <v>359</v>
      </c>
      <c r="F19" s="53" t="s">
        <v>360</v>
      </c>
      <c r="H19" s="5" t="s">
        <v>361</v>
      </c>
      <c r="I19" s="5" t="s">
        <v>148</v>
      </c>
    </row>
    <row r="20">
      <c r="B20" s="5" t="s">
        <v>362</v>
      </c>
      <c r="C20" s="5"/>
      <c r="D20" s="5"/>
      <c r="E20" s="15"/>
      <c r="F20" s="5"/>
      <c r="G20" s="5"/>
      <c r="H20" s="5"/>
      <c r="I20" s="5"/>
    </row>
    <row r="21">
      <c r="B21" s="99" t="s">
        <v>363</v>
      </c>
      <c r="C21" s="5" t="s">
        <v>364</v>
      </c>
      <c r="D21" s="5" t="s">
        <v>364</v>
      </c>
      <c r="E21" s="15">
        <v>1.0</v>
      </c>
      <c r="F21" s="53" t="s">
        <v>365</v>
      </c>
      <c r="H21" s="5" t="s">
        <v>366</v>
      </c>
      <c r="I21" s="5" t="s">
        <v>148</v>
      </c>
    </row>
    <row r="22">
      <c r="B22" s="5" t="s">
        <v>108</v>
      </c>
      <c r="D22" s="1"/>
      <c r="E22" s="96"/>
    </row>
    <row r="23">
      <c r="B23" s="53" t="s">
        <v>356</v>
      </c>
      <c r="C23" s="5" t="s">
        <v>364</v>
      </c>
      <c r="D23" s="5" t="s">
        <v>364</v>
      </c>
      <c r="E23" s="96"/>
      <c r="F23" s="53" t="s">
        <v>365</v>
      </c>
      <c r="H23" s="53" t="s">
        <v>365</v>
      </c>
      <c r="I23" s="5" t="s">
        <v>367</v>
      </c>
    </row>
    <row r="24">
      <c r="B24" s="5" t="s">
        <v>27</v>
      </c>
      <c r="C24" s="5" t="s">
        <v>112</v>
      </c>
      <c r="D24" s="23">
        <v>10000.0</v>
      </c>
      <c r="E24" s="96"/>
      <c r="F24" s="5" t="s">
        <v>113</v>
      </c>
      <c r="G24" s="30" t="s">
        <v>25</v>
      </c>
      <c r="H24" s="53" t="s">
        <v>365</v>
      </c>
      <c r="I24" s="5" t="s">
        <v>367</v>
      </c>
    </row>
    <row r="25">
      <c r="D25" s="1"/>
      <c r="E25" s="96"/>
    </row>
    <row r="26">
      <c r="B26" s="31" t="s">
        <v>114</v>
      </c>
      <c r="D26" s="1"/>
      <c r="E26" s="96"/>
    </row>
    <row r="27">
      <c r="B27" s="5" t="s">
        <v>115</v>
      </c>
      <c r="C27" s="5" t="s">
        <v>209</v>
      </c>
      <c r="D27" s="23" t="s">
        <v>117</v>
      </c>
      <c r="E27" s="96"/>
      <c r="F27" s="5" t="s">
        <v>209</v>
      </c>
    </row>
    <row r="28">
      <c r="B28" s="5" t="s">
        <v>121</v>
      </c>
      <c r="C28" s="5" t="s">
        <v>209</v>
      </c>
      <c r="D28" s="23" t="s">
        <v>368</v>
      </c>
      <c r="E28" s="96"/>
      <c r="F28" s="5" t="s">
        <v>244</v>
      </c>
    </row>
    <row r="29">
      <c r="B29" s="5" t="s">
        <v>122</v>
      </c>
      <c r="C29" s="5" t="s">
        <v>369</v>
      </c>
      <c r="D29" s="1"/>
      <c r="E29" s="96"/>
    </row>
    <row r="30">
      <c r="E30" s="96"/>
    </row>
    <row r="31">
      <c r="E31" s="96"/>
    </row>
    <row r="32">
      <c r="E32" s="96"/>
    </row>
    <row r="33">
      <c r="E33" s="96"/>
    </row>
    <row r="34">
      <c r="D34" s="1"/>
      <c r="E34" s="96"/>
    </row>
    <row r="35">
      <c r="D35" s="1"/>
      <c r="E35" s="96"/>
    </row>
    <row r="36">
      <c r="D36" s="1"/>
      <c r="E36" s="96"/>
    </row>
    <row r="37">
      <c r="D37" s="1"/>
      <c r="E37" s="96"/>
    </row>
    <row r="38">
      <c r="D38" s="1"/>
      <c r="E38" s="96"/>
    </row>
    <row r="39">
      <c r="D39" s="1"/>
      <c r="E39" s="96"/>
    </row>
    <row r="40">
      <c r="D40" s="1"/>
      <c r="E40" s="96"/>
    </row>
    <row r="41">
      <c r="D41" s="1"/>
      <c r="E41" s="96"/>
    </row>
    <row r="42">
      <c r="D42" s="1"/>
      <c r="E42" s="96"/>
    </row>
    <row r="43">
      <c r="D43" s="1"/>
      <c r="E43" s="96"/>
    </row>
    <row r="44">
      <c r="D44" s="1"/>
      <c r="E44" s="96"/>
    </row>
    <row r="45">
      <c r="D45" s="1"/>
      <c r="E45" s="96"/>
    </row>
    <row r="46">
      <c r="D46" s="1"/>
      <c r="E46" s="96"/>
    </row>
    <row r="47">
      <c r="D47" s="1"/>
      <c r="E47" s="96"/>
    </row>
    <row r="48">
      <c r="D48" s="1"/>
      <c r="E48" s="96"/>
    </row>
    <row r="49">
      <c r="D49" s="1"/>
      <c r="E49" s="96"/>
    </row>
    <row r="50">
      <c r="D50" s="1"/>
      <c r="E50" s="96"/>
    </row>
    <row r="51">
      <c r="D51" s="1"/>
      <c r="E51" s="96"/>
    </row>
    <row r="52">
      <c r="D52" s="1"/>
      <c r="E52" s="96"/>
    </row>
    <row r="53">
      <c r="D53" s="1"/>
      <c r="E53" s="96"/>
    </row>
    <row r="54">
      <c r="D54" s="1"/>
      <c r="E54" s="96"/>
    </row>
    <row r="55">
      <c r="D55" s="1"/>
      <c r="E55" s="96"/>
    </row>
    <row r="56">
      <c r="D56" s="1"/>
      <c r="E56" s="96"/>
    </row>
    <row r="57">
      <c r="D57" s="1"/>
      <c r="E57" s="96"/>
    </row>
    <row r="58">
      <c r="D58" s="1"/>
      <c r="E58" s="96"/>
    </row>
    <row r="59">
      <c r="D59" s="1"/>
      <c r="E59" s="96"/>
    </row>
    <row r="60">
      <c r="D60" s="1"/>
      <c r="E60" s="96"/>
    </row>
    <row r="61">
      <c r="D61" s="1"/>
      <c r="E61" s="96"/>
    </row>
    <row r="62">
      <c r="D62" s="1"/>
      <c r="E62" s="96"/>
    </row>
    <row r="63">
      <c r="D63" s="1"/>
      <c r="E63" s="96"/>
    </row>
    <row r="64">
      <c r="D64" s="1"/>
      <c r="E64" s="96"/>
    </row>
    <row r="65">
      <c r="D65" s="1"/>
      <c r="E65" s="96"/>
    </row>
    <row r="66">
      <c r="D66" s="1"/>
      <c r="E66" s="96"/>
    </row>
    <row r="67">
      <c r="D67" s="1"/>
      <c r="E67" s="96"/>
    </row>
    <row r="68">
      <c r="D68" s="1"/>
      <c r="E68" s="96"/>
    </row>
    <row r="69">
      <c r="D69" s="1"/>
      <c r="E69" s="96"/>
    </row>
    <row r="70">
      <c r="D70" s="1"/>
      <c r="E70" s="96"/>
    </row>
    <row r="71">
      <c r="D71" s="1"/>
      <c r="E71" s="96"/>
    </row>
    <row r="72">
      <c r="D72" s="1"/>
      <c r="E72" s="96"/>
    </row>
    <row r="73">
      <c r="D73" s="1"/>
      <c r="E73" s="96"/>
    </row>
    <row r="74">
      <c r="D74" s="1"/>
      <c r="E74" s="96"/>
    </row>
    <row r="75">
      <c r="D75" s="1"/>
      <c r="E75" s="96"/>
    </row>
    <row r="76">
      <c r="D76" s="1"/>
      <c r="E76" s="96"/>
    </row>
    <row r="77">
      <c r="D77" s="1"/>
      <c r="E77" s="96"/>
    </row>
    <row r="78">
      <c r="D78" s="1"/>
      <c r="E78" s="96"/>
    </row>
    <row r="79">
      <c r="D79" s="1"/>
      <c r="E79" s="96"/>
    </row>
    <row r="80">
      <c r="D80" s="1"/>
      <c r="E80" s="96"/>
    </row>
    <row r="81">
      <c r="D81" s="1"/>
      <c r="E81" s="96"/>
    </row>
    <row r="82">
      <c r="D82" s="1"/>
      <c r="E82" s="96"/>
    </row>
    <row r="83">
      <c r="D83" s="1"/>
      <c r="E83" s="96"/>
    </row>
    <row r="84">
      <c r="D84" s="1"/>
      <c r="E84" s="96"/>
    </row>
    <row r="85">
      <c r="D85" s="1"/>
      <c r="E85" s="96"/>
    </row>
    <row r="86">
      <c r="D86" s="1"/>
      <c r="E86" s="96"/>
    </row>
    <row r="87">
      <c r="D87" s="1"/>
      <c r="E87" s="96"/>
    </row>
    <row r="88">
      <c r="D88" s="1"/>
      <c r="E88" s="96"/>
    </row>
    <row r="89">
      <c r="D89" s="1"/>
      <c r="E89" s="96"/>
    </row>
    <row r="90">
      <c r="D90" s="1"/>
      <c r="E90" s="96"/>
    </row>
    <row r="91">
      <c r="D91" s="1"/>
      <c r="E91" s="96"/>
    </row>
    <row r="92">
      <c r="D92" s="1"/>
      <c r="E92" s="96"/>
    </row>
    <row r="93">
      <c r="D93" s="1"/>
      <c r="E93" s="96"/>
    </row>
    <row r="94">
      <c r="D94" s="1"/>
      <c r="E94" s="96"/>
    </row>
    <row r="95">
      <c r="D95" s="1"/>
      <c r="E95" s="96"/>
    </row>
    <row r="96">
      <c r="D96" s="1"/>
      <c r="E96" s="96"/>
    </row>
    <row r="97">
      <c r="D97" s="1"/>
      <c r="E97" s="96"/>
    </row>
    <row r="98">
      <c r="D98" s="1"/>
      <c r="E98" s="96"/>
    </row>
    <row r="99">
      <c r="D99" s="1"/>
      <c r="E99" s="96"/>
    </row>
    <row r="100">
      <c r="D100" s="1"/>
      <c r="E100" s="96"/>
    </row>
    <row r="101">
      <c r="D101" s="1"/>
      <c r="E101" s="96"/>
    </row>
    <row r="102">
      <c r="D102" s="1"/>
      <c r="E102" s="96"/>
    </row>
    <row r="103">
      <c r="D103" s="1"/>
      <c r="E103" s="96"/>
    </row>
    <row r="104">
      <c r="D104" s="1"/>
      <c r="E104" s="96"/>
    </row>
    <row r="105">
      <c r="D105" s="1"/>
      <c r="E105" s="96"/>
    </row>
    <row r="106">
      <c r="D106" s="1"/>
      <c r="E106" s="96"/>
    </row>
    <row r="107">
      <c r="D107" s="1"/>
      <c r="E107" s="96"/>
    </row>
    <row r="108">
      <c r="D108" s="1"/>
      <c r="E108" s="96"/>
    </row>
    <row r="109">
      <c r="D109" s="1"/>
      <c r="E109" s="96"/>
    </row>
    <row r="110">
      <c r="D110" s="1"/>
      <c r="E110" s="96"/>
    </row>
    <row r="111">
      <c r="D111" s="1"/>
      <c r="E111" s="96"/>
    </row>
    <row r="112">
      <c r="D112" s="1"/>
      <c r="E112" s="96"/>
    </row>
    <row r="113">
      <c r="D113" s="1"/>
      <c r="E113" s="96"/>
    </row>
    <row r="114">
      <c r="D114" s="1"/>
      <c r="E114" s="96"/>
    </row>
    <row r="115">
      <c r="D115" s="1"/>
      <c r="E115" s="96"/>
    </row>
    <row r="116">
      <c r="D116" s="1"/>
      <c r="E116" s="96"/>
    </row>
    <row r="117">
      <c r="D117" s="1"/>
      <c r="E117" s="96"/>
    </row>
    <row r="118">
      <c r="D118" s="1"/>
      <c r="E118" s="96"/>
    </row>
    <row r="119">
      <c r="D119" s="1"/>
      <c r="E119" s="96"/>
    </row>
    <row r="120">
      <c r="D120" s="1"/>
      <c r="E120" s="96"/>
    </row>
    <row r="121">
      <c r="D121" s="1"/>
      <c r="E121" s="96"/>
    </row>
    <row r="122">
      <c r="D122" s="1"/>
      <c r="E122" s="96"/>
    </row>
    <row r="123">
      <c r="D123" s="1"/>
      <c r="E123" s="96"/>
    </row>
    <row r="124">
      <c r="D124" s="1"/>
      <c r="E124" s="96"/>
    </row>
    <row r="125">
      <c r="D125" s="1"/>
      <c r="E125" s="96"/>
    </row>
    <row r="126">
      <c r="D126" s="1"/>
      <c r="E126" s="96"/>
    </row>
    <row r="127">
      <c r="D127" s="1"/>
      <c r="E127" s="96"/>
    </row>
    <row r="128">
      <c r="D128" s="1"/>
      <c r="E128" s="96"/>
    </row>
    <row r="129">
      <c r="D129" s="1"/>
      <c r="E129" s="96"/>
    </row>
    <row r="130">
      <c r="D130" s="1"/>
      <c r="E130" s="96"/>
    </row>
    <row r="131">
      <c r="D131" s="1"/>
      <c r="E131" s="96"/>
    </row>
    <row r="132">
      <c r="D132" s="1"/>
      <c r="E132" s="96"/>
    </row>
    <row r="133">
      <c r="D133" s="1"/>
      <c r="E133" s="96"/>
    </row>
    <row r="134">
      <c r="D134" s="1"/>
      <c r="E134" s="96"/>
    </row>
    <row r="135">
      <c r="D135" s="1"/>
      <c r="E135" s="96"/>
    </row>
    <row r="136">
      <c r="D136" s="1"/>
      <c r="E136" s="96"/>
    </row>
    <row r="137">
      <c r="D137" s="1"/>
      <c r="E137" s="96"/>
    </row>
    <row r="138">
      <c r="D138" s="1"/>
      <c r="E138" s="96"/>
    </row>
    <row r="139">
      <c r="D139" s="1"/>
      <c r="E139" s="96"/>
    </row>
    <row r="140">
      <c r="D140" s="1"/>
      <c r="E140" s="96"/>
    </row>
    <row r="141">
      <c r="D141" s="1"/>
      <c r="E141" s="96"/>
    </row>
    <row r="142">
      <c r="D142" s="1"/>
      <c r="E142" s="96"/>
    </row>
    <row r="143">
      <c r="D143" s="1"/>
      <c r="E143" s="96"/>
    </row>
    <row r="144">
      <c r="D144" s="1"/>
      <c r="E144" s="96"/>
    </row>
    <row r="145">
      <c r="D145" s="1"/>
      <c r="E145" s="96"/>
    </row>
    <row r="146">
      <c r="D146" s="1"/>
      <c r="E146" s="96"/>
    </row>
    <row r="147">
      <c r="D147" s="1"/>
      <c r="E147" s="96"/>
    </row>
    <row r="148">
      <c r="D148" s="1"/>
      <c r="E148" s="96"/>
    </row>
    <row r="149">
      <c r="D149" s="1"/>
      <c r="E149" s="96"/>
    </row>
    <row r="150">
      <c r="D150" s="1"/>
      <c r="E150" s="96"/>
    </row>
    <row r="151">
      <c r="D151" s="1"/>
      <c r="E151" s="96"/>
    </row>
    <row r="152">
      <c r="D152" s="1"/>
      <c r="E152" s="96"/>
    </row>
    <row r="153">
      <c r="D153" s="1"/>
      <c r="E153" s="96"/>
    </row>
    <row r="154">
      <c r="D154" s="1"/>
      <c r="E154" s="96"/>
    </row>
    <row r="155">
      <c r="D155" s="1"/>
      <c r="E155" s="96"/>
    </row>
    <row r="156">
      <c r="D156" s="1"/>
      <c r="E156" s="96"/>
    </row>
    <row r="157">
      <c r="D157" s="1"/>
      <c r="E157" s="96"/>
    </row>
    <row r="158">
      <c r="D158" s="1"/>
      <c r="E158" s="96"/>
    </row>
    <row r="159">
      <c r="D159" s="1"/>
      <c r="E159" s="96"/>
    </row>
    <row r="160">
      <c r="D160" s="1"/>
      <c r="E160" s="96"/>
    </row>
    <row r="161">
      <c r="D161" s="1"/>
      <c r="E161" s="96"/>
    </row>
    <row r="162">
      <c r="D162" s="1"/>
      <c r="E162" s="96"/>
    </row>
    <row r="163">
      <c r="D163" s="1"/>
      <c r="E163" s="96"/>
    </row>
    <row r="164">
      <c r="D164" s="1"/>
      <c r="E164" s="96"/>
    </row>
    <row r="165">
      <c r="D165" s="1"/>
      <c r="E165" s="96"/>
    </row>
    <row r="166">
      <c r="D166" s="1"/>
      <c r="E166" s="96"/>
    </row>
    <row r="167">
      <c r="D167" s="1"/>
      <c r="E167" s="96"/>
    </row>
    <row r="168">
      <c r="D168" s="1"/>
      <c r="E168" s="96"/>
    </row>
    <row r="169">
      <c r="D169" s="1"/>
      <c r="E169" s="96"/>
    </row>
    <row r="170">
      <c r="D170" s="1"/>
      <c r="E170" s="96"/>
    </row>
    <row r="171">
      <c r="D171" s="1"/>
      <c r="E171" s="96"/>
    </row>
    <row r="172">
      <c r="D172" s="1"/>
      <c r="E172" s="96"/>
    </row>
    <row r="173">
      <c r="D173" s="1"/>
      <c r="E173" s="96"/>
    </row>
    <row r="174">
      <c r="D174" s="1"/>
      <c r="E174" s="96"/>
    </row>
    <row r="175">
      <c r="D175" s="1"/>
      <c r="E175" s="96"/>
    </row>
    <row r="176">
      <c r="D176" s="1"/>
      <c r="E176" s="96"/>
    </row>
    <row r="177">
      <c r="D177" s="1"/>
      <c r="E177" s="96"/>
    </row>
    <row r="178">
      <c r="D178" s="1"/>
      <c r="E178" s="96"/>
    </row>
    <row r="179">
      <c r="D179" s="1"/>
      <c r="E179" s="96"/>
    </row>
    <row r="180">
      <c r="D180" s="1"/>
      <c r="E180" s="96"/>
    </row>
    <row r="181">
      <c r="D181" s="1"/>
      <c r="E181" s="96"/>
    </row>
    <row r="182">
      <c r="D182" s="1"/>
      <c r="E182" s="96"/>
    </row>
    <row r="183">
      <c r="D183" s="1"/>
      <c r="E183" s="96"/>
    </row>
    <row r="184">
      <c r="D184" s="1"/>
      <c r="E184" s="96"/>
    </row>
    <row r="185">
      <c r="D185" s="1"/>
      <c r="E185" s="96"/>
    </row>
    <row r="186">
      <c r="D186" s="1"/>
      <c r="E186" s="96"/>
    </row>
    <row r="187">
      <c r="D187" s="1"/>
      <c r="E187" s="96"/>
    </row>
    <row r="188">
      <c r="D188" s="1"/>
      <c r="E188" s="96"/>
    </row>
    <row r="189">
      <c r="D189" s="1"/>
      <c r="E189" s="96"/>
    </row>
    <row r="190">
      <c r="D190" s="1"/>
      <c r="E190" s="96"/>
    </row>
    <row r="191">
      <c r="D191" s="1"/>
      <c r="E191" s="96"/>
    </row>
    <row r="192">
      <c r="D192" s="1"/>
      <c r="E192" s="96"/>
    </row>
    <row r="193">
      <c r="D193" s="1"/>
      <c r="E193" s="96"/>
    </row>
    <row r="194">
      <c r="D194" s="1"/>
      <c r="E194" s="96"/>
    </row>
    <row r="195">
      <c r="D195" s="1"/>
      <c r="E195" s="96"/>
    </row>
    <row r="196">
      <c r="D196" s="1"/>
      <c r="E196" s="96"/>
    </row>
    <row r="197">
      <c r="D197" s="1"/>
      <c r="E197" s="96"/>
    </row>
    <row r="198">
      <c r="D198" s="1"/>
      <c r="E198" s="96"/>
    </row>
    <row r="199">
      <c r="D199" s="1"/>
      <c r="E199" s="96"/>
    </row>
    <row r="200">
      <c r="D200" s="1"/>
      <c r="E200" s="96"/>
    </row>
    <row r="201">
      <c r="D201" s="1"/>
      <c r="E201" s="96"/>
    </row>
    <row r="202">
      <c r="D202" s="1"/>
      <c r="E202" s="96"/>
    </row>
    <row r="203">
      <c r="D203" s="1"/>
      <c r="E203" s="96"/>
    </row>
    <row r="204">
      <c r="D204" s="1"/>
      <c r="E204" s="96"/>
    </row>
    <row r="205">
      <c r="D205" s="1"/>
      <c r="E205" s="96"/>
    </row>
    <row r="206">
      <c r="D206" s="1"/>
      <c r="E206" s="96"/>
    </row>
    <row r="207">
      <c r="D207" s="1"/>
      <c r="E207" s="96"/>
    </row>
    <row r="208">
      <c r="D208" s="1"/>
      <c r="E208" s="96"/>
    </row>
    <row r="209">
      <c r="D209" s="1"/>
      <c r="E209" s="96"/>
    </row>
    <row r="210">
      <c r="D210" s="1"/>
      <c r="E210" s="96"/>
    </row>
    <row r="211">
      <c r="D211" s="1"/>
      <c r="E211" s="96"/>
    </row>
    <row r="212">
      <c r="D212" s="1"/>
      <c r="E212" s="96"/>
    </row>
    <row r="213">
      <c r="D213" s="1"/>
      <c r="E213" s="96"/>
    </row>
    <row r="214">
      <c r="D214" s="1"/>
      <c r="E214" s="96"/>
    </row>
    <row r="215">
      <c r="D215" s="1"/>
      <c r="E215" s="96"/>
    </row>
    <row r="216">
      <c r="D216" s="1"/>
      <c r="E216" s="96"/>
    </row>
    <row r="217">
      <c r="D217" s="1"/>
      <c r="E217" s="96"/>
    </row>
    <row r="218">
      <c r="D218" s="1"/>
      <c r="E218" s="96"/>
    </row>
    <row r="219">
      <c r="D219" s="1"/>
      <c r="E219" s="96"/>
    </row>
    <row r="220">
      <c r="D220" s="1"/>
      <c r="E220" s="96"/>
    </row>
    <row r="221">
      <c r="D221" s="1"/>
      <c r="E221" s="96"/>
    </row>
    <row r="222">
      <c r="D222" s="1"/>
      <c r="E222" s="96"/>
    </row>
    <row r="223">
      <c r="D223" s="1"/>
      <c r="E223" s="96"/>
    </row>
    <row r="224">
      <c r="D224" s="1"/>
      <c r="E224" s="96"/>
    </row>
    <row r="225">
      <c r="D225" s="1"/>
      <c r="E225" s="96"/>
    </row>
    <row r="226">
      <c r="D226" s="1"/>
      <c r="E226" s="96"/>
    </row>
    <row r="227">
      <c r="D227" s="1"/>
      <c r="E227" s="96"/>
    </row>
    <row r="228">
      <c r="D228" s="1"/>
      <c r="E228" s="96"/>
    </row>
    <row r="229">
      <c r="D229" s="1"/>
      <c r="E229" s="96"/>
    </row>
    <row r="230">
      <c r="D230" s="1"/>
      <c r="E230" s="96"/>
    </row>
    <row r="231">
      <c r="D231" s="1"/>
      <c r="E231" s="96"/>
    </row>
    <row r="232">
      <c r="D232" s="1"/>
      <c r="E232" s="96"/>
    </row>
    <row r="233">
      <c r="D233" s="1"/>
      <c r="E233" s="96"/>
    </row>
    <row r="234">
      <c r="D234" s="1"/>
      <c r="E234" s="96"/>
    </row>
    <row r="235">
      <c r="D235" s="1"/>
      <c r="E235" s="96"/>
    </row>
    <row r="236">
      <c r="D236" s="1"/>
      <c r="E236" s="96"/>
    </row>
    <row r="237">
      <c r="D237" s="1"/>
      <c r="E237" s="96"/>
    </row>
    <row r="238">
      <c r="D238" s="1"/>
      <c r="E238" s="96"/>
    </row>
    <row r="239">
      <c r="D239" s="1"/>
      <c r="E239" s="96"/>
    </row>
    <row r="240">
      <c r="D240" s="1"/>
      <c r="E240" s="96"/>
    </row>
    <row r="241">
      <c r="D241" s="1"/>
      <c r="E241" s="96"/>
    </row>
    <row r="242">
      <c r="D242" s="1"/>
      <c r="E242" s="96"/>
    </row>
    <row r="243">
      <c r="D243" s="1"/>
      <c r="E243" s="96"/>
    </row>
    <row r="244">
      <c r="D244" s="1"/>
      <c r="E244" s="96"/>
    </row>
    <row r="245">
      <c r="D245" s="1"/>
      <c r="E245" s="96"/>
    </row>
    <row r="246">
      <c r="D246" s="1"/>
      <c r="E246" s="96"/>
    </row>
    <row r="247">
      <c r="D247" s="1"/>
      <c r="E247" s="96"/>
    </row>
    <row r="248">
      <c r="D248" s="1"/>
      <c r="E248" s="96"/>
    </row>
    <row r="249">
      <c r="D249" s="1"/>
      <c r="E249" s="96"/>
    </row>
    <row r="250">
      <c r="D250" s="1"/>
      <c r="E250" s="96"/>
    </row>
    <row r="251">
      <c r="D251" s="1"/>
      <c r="E251" s="96"/>
    </row>
    <row r="252">
      <c r="D252" s="1"/>
      <c r="E252" s="96"/>
    </row>
    <row r="253">
      <c r="D253" s="1"/>
      <c r="E253" s="96"/>
    </row>
    <row r="254">
      <c r="D254" s="1"/>
      <c r="E254" s="96"/>
    </row>
    <row r="255">
      <c r="D255" s="1"/>
      <c r="E255" s="96"/>
    </row>
    <row r="256">
      <c r="D256" s="1"/>
      <c r="E256" s="96"/>
    </row>
    <row r="257">
      <c r="D257" s="1"/>
      <c r="E257" s="96"/>
    </row>
    <row r="258">
      <c r="D258" s="1"/>
      <c r="E258" s="96"/>
    </row>
    <row r="259">
      <c r="D259" s="1"/>
      <c r="E259" s="96"/>
    </row>
    <row r="260">
      <c r="D260" s="1"/>
      <c r="E260" s="96"/>
    </row>
    <row r="261">
      <c r="D261" s="1"/>
      <c r="E261" s="96"/>
    </row>
    <row r="262">
      <c r="D262" s="1"/>
      <c r="E262" s="96"/>
    </row>
    <row r="263">
      <c r="D263" s="1"/>
      <c r="E263" s="96"/>
    </row>
    <row r="264">
      <c r="D264" s="1"/>
      <c r="E264" s="96"/>
    </row>
    <row r="265">
      <c r="D265" s="1"/>
      <c r="E265" s="96"/>
    </row>
    <row r="266">
      <c r="D266" s="1"/>
      <c r="E266" s="96"/>
    </row>
    <row r="267">
      <c r="D267" s="1"/>
      <c r="E267" s="96"/>
    </row>
    <row r="268">
      <c r="D268" s="1"/>
      <c r="E268" s="96"/>
    </row>
    <row r="269">
      <c r="D269" s="1"/>
      <c r="E269" s="96"/>
    </row>
    <row r="270">
      <c r="D270" s="1"/>
      <c r="E270" s="96"/>
    </row>
    <row r="271">
      <c r="D271" s="1"/>
      <c r="E271" s="96"/>
    </row>
    <row r="272">
      <c r="D272" s="1"/>
      <c r="E272" s="96"/>
    </row>
    <row r="273">
      <c r="D273" s="1"/>
      <c r="E273" s="96"/>
    </row>
    <row r="274">
      <c r="D274" s="1"/>
      <c r="E274" s="96"/>
    </row>
    <row r="275">
      <c r="D275" s="1"/>
      <c r="E275" s="96"/>
    </row>
    <row r="276">
      <c r="D276" s="1"/>
      <c r="E276" s="96"/>
    </row>
    <row r="277">
      <c r="D277" s="1"/>
      <c r="E277" s="96"/>
    </row>
    <row r="278">
      <c r="D278" s="1"/>
      <c r="E278" s="96"/>
    </row>
    <row r="279">
      <c r="D279" s="1"/>
      <c r="E279" s="96"/>
    </row>
    <row r="280">
      <c r="D280" s="1"/>
      <c r="E280" s="96"/>
    </row>
    <row r="281">
      <c r="D281" s="1"/>
      <c r="E281" s="96"/>
    </row>
    <row r="282">
      <c r="D282" s="1"/>
      <c r="E282" s="96"/>
    </row>
    <row r="283">
      <c r="D283" s="1"/>
      <c r="E283" s="96"/>
    </row>
    <row r="284">
      <c r="D284" s="1"/>
      <c r="E284" s="96"/>
    </row>
    <row r="285">
      <c r="D285" s="1"/>
      <c r="E285" s="96"/>
    </row>
    <row r="286">
      <c r="D286" s="1"/>
      <c r="E286" s="96"/>
    </row>
    <row r="287">
      <c r="D287" s="1"/>
      <c r="E287" s="96"/>
    </row>
    <row r="288">
      <c r="D288" s="1"/>
      <c r="E288" s="96"/>
    </row>
    <row r="289">
      <c r="D289" s="1"/>
      <c r="E289" s="96"/>
    </row>
    <row r="290">
      <c r="D290" s="1"/>
      <c r="E290" s="96"/>
    </row>
    <row r="291">
      <c r="D291" s="1"/>
      <c r="E291" s="96"/>
    </row>
    <row r="292">
      <c r="D292" s="1"/>
      <c r="E292" s="96"/>
    </row>
    <row r="293">
      <c r="D293" s="1"/>
      <c r="E293" s="96"/>
    </row>
    <row r="294">
      <c r="D294" s="1"/>
      <c r="E294" s="96"/>
    </row>
    <row r="295">
      <c r="D295" s="1"/>
      <c r="E295" s="96"/>
    </row>
    <row r="296">
      <c r="D296" s="1"/>
      <c r="E296" s="96"/>
    </row>
    <row r="297">
      <c r="D297" s="1"/>
      <c r="E297" s="96"/>
    </row>
    <row r="298">
      <c r="D298" s="1"/>
      <c r="E298" s="96"/>
    </row>
    <row r="299">
      <c r="D299" s="1"/>
      <c r="E299" s="96"/>
    </row>
    <row r="300">
      <c r="D300" s="1"/>
      <c r="E300" s="96"/>
    </row>
    <row r="301">
      <c r="D301" s="1"/>
      <c r="E301" s="96"/>
    </row>
    <row r="302">
      <c r="D302" s="1"/>
      <c r="E302" s="96"/>
    </row>
    <row r="303">
      <c r="D303" s="1"/>
      <c r="E303" s="96"/>
    </row>
    <row r="304">
      <c r="D304" s="1"/>
      <c r="E304" s="96"/>
    </row>
    <row r="305">
      <c r="D305" s="1"/>
      <c r="E305" s="96"/>
    </row>
    <row r="306">
      <c r="D306" s="1"/>
      <c r="E306" s="96"/>
    </row>
    <row r="307">
      <c r="D307" s="1"/>
      <c r="E307" s="96"/>
    </row>
    <row r="308">
      <c r="D308" s="1"/>
      <c r="E308" s="96"/>
    </row>
    <row r="309">
      <c r="D309" s="1"/>
      <c r="E309" s="96"/>
    </row>
    <row r="310">
      <c r="D310" s="1"/>
      <c r="E310" s="96"/>
    </row>
    <row r="311">
      <c r="D311" s="1"/>
      <c r="E311" s="96"/>
    </row>
    <row r="312">
      <c r="D312" s="1"/>
      <c r="E312" s="96"/>
    </row>
    <row r="313">
      <c r="D313" s="1"/>
      <c r="E313" s="96"/>
    </row>
    <row r="314">
      <c r="D314" s="1"/>
      <c r="E314" s="96"/>
    </row>
    <row r="315">
      <c r="D315" s="1"/>
      <c r="E315" s="96"/>
    </row>
    <row r="316">
      <c r="D316" s="1"/>
      <c r="E316" s="96"/>
    </row>
    <row r="317">
      <c r="D317" s="1"/>
      <c r="E317" s="96"/>
    </row>
    <row r="318">
      <c r="D318" s="1"/>
      <c r="E318" s="96"/>
    </row>
    <row r="319">
      <c r="D319" s="1"/>
      <c r="E319" s="96"/>
    </row>
    <row r="320">
      <c r="D320" s="1"/>
      <c r="E320" s="96"/>
    </row>
    <row r="321">
      <c r="D321" s="1"/>
      <c r="E321" s="96"/>
    </row>
    <row r="322">
      <c r="D322" s="1"/>
      <c r="E322" s="96"/>
    </row>
    <row r="323">
      <c r="D323" s="1"/>
      <c r="E323" s="96"/>
    </row>
    <row r="324">
      <c r="D324" s="1"/>
      <c r="E324" s="96"/>
    </row>
    <row r="325">
      <c r="D325" s="1"/>
      <c r="E325" s="96"/>
    </row>
    <row r="326">
      <c r="D326" s="1"/>
      <c r="E326" s="96"/>
    </row>
    <row r="327">
      <c r="D327" s="1"/>
      <c r="E327" s="96"/>
    </row>
    <row r="328">
      <c r="D328" s="1"/>
      <c r="E328" s="96"/>
    </row>
    <row r="329">
      <c r="D329" s="1"/>
      <c r="E329" s="96"/>
    </row>
    <row r="330">
      <c r="D330" s="1"/>
      <c r="E330" s="96"/>
    </row>
    <row r="331">
      <c r="D331" s="1"/>
      <c r="E331" s="96"/>
    </row>
    <row r="332">
      <c r="D332" s="1"/>
      <c r="E332" s="96"/>
    </row>
    <row r="333">
      <c r="D333" s="1"/>
      <c r="E333" s="96"/>
    </row>
    <row r="334">
      <c r="D334" s="1"/>
      <c r="E334" s="96"/>
    </row>
    <row r="335">
      <c r="D335" s="1"/>
      <c r="E335" s="96"/>
    </row>
    <row r="336">
      <c r="D336" s="1"/>
      <c r="E336" s="96"/>
    </row>
    <row r="337">
      <c r="D337" s="1"/>
      <c r="E337" s="96"/>
    </row>
    <row r="338">
      <c r="D338" s="1"/>
      <c r="E338" s="96"/>
    </row>
    <row r="339">
      <c r="D339" s="1"/>
      <c r="E339" s="96"/>
    </row>
    <row r="340">
      <c r="D340" s="1"/>
      <c r="E340" s="96"/>
    </row>
    <row r="341">
      <c r="D341" s="1"/>
      <c r="E341" s="96"/>
    </row>
    <row r="342">
      <c r="D342" s="1"/>
      <c r="E342" s="96"/>
    </row>
    <row r="343">
      <c r="D343" s="1"/>
      <c r="E343" s="96"/>
    </row>
    <row r="344">
      <c r="D344" s="1"/>
      <c r="E344" s="96"/>
    </row>
    <row r="345">
      <c r="D345" s="1"/>
      <c r="E345" s="96"/>
    </row>
    <row r="346">
      <c r="D346" s="1"/>
      <c r="E346" s="96"/>
    </row>
    <row r="347">
      <c r="D347" s="1"/>
      <c r="E347" s="96"/>
    </row>
    <row r="348">
      <c r="D348" s="1"/>
      <c r="E348" s="96"/>
    </row>
    <row r="349">
      <c r="D349" s="1"/>
      <c r="E349" s="96"/>
    </row>
    <row r="350">
      <c r="D350" s="1"/>
      <c r="E350" s="96"/>
    </row>
    <row r="351">
      <c r="D351" s="1"/>
      <c r="E351" s="96"/>
    </row>
    <row r="352">
      <c r="D352" s="1"/>
      <c r="E352" s="96"/>
    </row>
    <row r="353">
      <c r="D353" s="1"/>
      <c r="E353" s="96"/>
    </row>
    <row r="354">
      <c r="D354" s="1"/>
      <c r="E354" s="96"/>
    </row>
    <row r="355">
      <c r="D355" s="1"/>
      <c r="E355" s="96"/>
    </row>
    <row r="356">
      <c r="D356" s="1"/>
      <c r="E356" s="96"/>
    </row>
    <row r="357">
      <c r="D357" s="1"/>
      <c r="E357" s="96"/>
    </row>
    <row r="358">
      <c r="D358" s="1"/>
      <c r="E358" s="96"/>
    </row>
    <row r="359">
      <c r="D359" s="1"/>
      <c r="E359" s="96"/>
    </row>
    <row r="360">
      <c r="D360" s="1"/>
      <c r="E360" s="96"/>
    </row>
    <row r="361">
      <c r="D361" s="1"/>
      <c r="E361" s="96"/>
    </row>
    <row r="362">
      <c r="D362" s="1"/>
      <c r="E362" s="96"/>
    </row>
    <row r="363">
      <c r="D363" s="1"/>
      <c r="E363" s="96"/>
    </row>
    <row r="364">
      <c r="D364" s="1"/>
      <c r="E364" s="96"/>
    </row>
    <row r="365">
      <c r="D365" s="1"/>
      <c r="E365" s="96"/>
    </row>
    <row r="366">
      <c r="D366" s="1"/>
      <c r="E366" s="96"/>
    </row>
    <row r="367">
      <c r="D367" s="1"/>
      <c r="E367" s="96"/>
    </row>
    <row r="368">
      <c r="D368" s="1"/>
      <c r="E368" s="96"/>
    </row>
    <row r="369">
      <c r="D369" s="1"/>
      <c r="E369" s="96"/>
    </row>
    <row r="370">
      <c r="D370" s="1"/>
      <c r="E370" s="96"/>
    </row>
    <row r="371">
      <c r="D371" s="1"/>
      <c r="E371" s="96"/>
    </row>
    <row r="372">
      <c r="D372" s="1"/>
      <c r="E372" s="96"/>
    </row>
    <row r="373">
      <c r="D373" s="1"/>
      <c r="E373" s="96"/>
    </row>
    <row r="374">
      <c r="D374" s="1"/>
      <c r="E374" s="96"/>
    </row>
    <row r="375">
      <c r="D375" s="1"/>
      <c r="E375" s="96"/>
    </row>
    <row r="376">
      <c r="D376" s="1"/>
      <c r="E376" s="96"/>
    </row>
    <row r="377">
      <c r="D377" s="1"/>
      <c r="E377" s="96"/>
    </row>
    <row r="378">
      <c r="D378" s="1"/>
      <c r="E378" s="96"/>
    </row>
    <row r="379">
      <c r="D379" s="1"/>
      <c r="E379" s="96"/>
    </row>
    <row r="380">
      <c r="D380" s="1"/>
      <c r="E380" s="96"/>
    </row>
    <row r="381">
      <c r="D381" s="1"/>
      <c r="E381" s="96"/>
    </row>
    <row r="382">
      <c r="D382" s="1"/>
      <c r="E382" s="96"/>
    </row>
    <row r="383">
      <c r="D383" s="1"/>
      <c r="E383" s="96"/>
    </row>
    <row r="384">
      <c r="D384" s="1"/>
      <c r="E384" s="96"/>
    </row>
    <row r="385">
      <c r="D385" s="1"/>
      <c r="E385" s="96"/>
    </row>
    <row r="386">
      <c r="D386" s="1"/>
      <c r="E386" s="96"/>
    </row>
    <row r="387">
      <c r="D387" s="1"/>
      <c r="E387" s="96"/>
    </row>
    <row r="388">
      <c r="D388" s="1"/>
      <c r="E388" s="96"/>
    </row>
    <row r="389">
      <c r="D389" s="1"/>
      <c r="E389" s="96"/>
    </row>
    <row r="390">
      <c r="D390" s="1"/>
      <c r="E390" s="96"/>
    </row>
    <row r="391">
      <c r="D391" s="1"/>
      <c r="E391" s="96"/>
    </row>
    <row r="392">
      <c r="D392" s="1"/>
      <c r="E392" s="96"/>
    </row>
    <row r="393">
      <c r="D393" s="1"/>
      <c r="E393" s="96"/>
    </row>
    <row r="394">
      <c r="D394" s="1"/>
      <c r="E394" s="96"/>
    </row>
    <row r="395">
      <c r="D395" s="1"/>
      <c r="E395" s="96"/>
    </row>
    <row r="396">
      <c r="D396" s="1"/>
      <c r="E396" s="96"/>
    </row>
    <row r="397">
      <c r="D397" s="1"/>
      <c r="E397" s="96"/>
    </row>
    <row r="398">
      <c r="D398" s="1"/>
      <c r="E398" s="96"/>
    </row>
    <row r="399">
      <c r="D399" s="1"/>
      <c r="E399" s="96"/>
    </row>
    <row r="400">
      <c r="D400" s="1"/>
      <c r="E400" s="96"/>
    </row>
    <row r="401">
      <c r="D401" s="1"/>
      <c r="E401" s="96"/>
    </row>
    <row r="402">
      <c r="D402" s="1"/>
      <c r="E402" s="96"/>
    </row>
    <row r="403">
      <c r="D403" s="1"/>
      <c r="E403" s="96"/>
    </row>
    <row r="404">
      <c r="D404" s="1"/>
      <c r="E404" s="96"/>
    </row>
    <row r="405">
      <c r="D405" s="1"/>
      <c r="E405" s="96"/>
    </row>
    <row r="406">
      <c r="D406" s="1"/>
      <c r="E406" s="96"/>
    </row>
    <row r="407">
      <c r="D407" s="1"/>
      <c r="E407" s="96"/>
    </row>
    <row r="408">
      <c r="D408" s="1"/>
      <c r="E408" s="96"/>
    </row>
    <row r="409">
      <c r="D409" s="1"/>
      <c r="E409" s="96"/>
    </row>
    <row r="410">
      <c r="D410" s="1"/>
      <c r="E410" s="96"/>
    </row>
    <row r="411">
      <c r="D411" s="1"/>
      <c r="E411" s="96"/>
    </row>
    <row r="412">
      <c r="D412" s="1"/>
      <c r="E412" s="96"/>
    </row>
    <row r="413">
      <c r="D413" s="1"/>
      <c r="E413" s="96"/>
    </row>
    <row r="414">
      <c r="D414" s="1"/>
      <c r="E414" s="96"/>
    </row>
    <row r="415">
      <c r="D415" s="1"/>
      <c r="E415" s="96"/>
    </row>
    <row r="416">
      <c r="D416" s="1"/>
      <c r="E416" s="96"/>
    </row>
    <row r="417">
      <c r="D417" s="1"/>
      <c r="E417" s="96"/>
    </row>
    <row r="418">
      <c r="D418" s="1"/>
      <c r="E418" s="96"/>
    </row>
    <row r="419">
      <c r="D419" s="1"/>
      <c r="E419" s="96"/>
    </row>
    <row r="420">
      <c r="D420" s="1"/>
      <c r="E420" s="96"/>
    </row>
    <row r="421">
      <c r="D421" s="1"/>
      <c r="E421" s="96"/>
    </row>
    <row r="422">
      <c r="D422" s="1"/>
      <c r="E422" s="96"/>
    </row>
    <row r="423">
      <c r="D423" s="1"/>
      <c r="E423" s="96"/>
    </row>
    <row r="424">
      <c r="D424" s="1"/>
      <c r="E424" s="96"/>
    </row>
    <row r="425">
      <c r="D425" s="1"/>
      <c r="E425" s="96"/>
    </row>
    <row r="426">
      <c r="D426" s="1"/>
      <c r="E426" s="96"/>
    </row>
    <row r="427">
      <c r="D427" s="1"/>
      <c r="E427" s="96"/>
    </row>
    <row r="428">
      <c r="D428" s="1"/>
      <c r="E428" s="96"/>
    </row>
    <row r="429">
      <c r="D429" s="1"/>
      <c r="E429" s="96"/>
    </row>
    <row r="430">
      <c r="D430" s="1"/>
      <c r="E430" s="96"/>
    </row>
    <row r="431">
      <c r="D431" s="1"/>
      <c r="E431" s="96"/>
    </row>
    <row r="432">
      <c r="D432" s="1"/>
      <c r="E432" s="96"/>
    </row>
    <row r="433">
      <c r="D433" s="1"/>
      <c r="E433" s="96"/>
    </row>
    <row r="434">
      <c r="D434" s="1"/>
      <c r="E434" s="96"/>
    </row>
    <row r="435">
      <c r="D435" s="1"/>
      <c r="E435" s="96"/>
    </row>
    <row r="436">
      <c r="D436" s="1"/>
      <c r="E436" s="96"/>
    </row>
    <row r="437">
      <c r="D437" s="1"/>
      <c r="E437" s="96"/>
    </row>
    <row r="438">
      <c r="D438" s="1"/>
      <c r="E438" s="96"/>
    </row>
    <row r="439">
      <c r="D439" s="1"/>
      <c r="E439" s="96"/>
    </row>
    <row r="440">
      <c r="D440" s="1"/>
      <c r="E440" s="96"/>
    </row>
    <row r="441">
      <c r="D441" s="1"/>
      <c r="E441" s="96"/>
    </row>
    <row r="442">
      <c r="D442" s="1"/>
      <c r="E442" s="96"/>
    </row>
    <row r="443">
      <c r="D443" s="1"/>
      <c r="E443" s="96"/>
    </row>
    <row r="444">
      <c r="D444" s="1"/>
      <c r="E444" s="96"/>
    </row>
    <row r="445">
      <c r="D445" s="1"/>
      <c r="E445" s="96"/>
    </row>
    <row r="446">
      <c r="D446" s="1"/>
      <c r="E446" s="96"/>
    </row>
    <row r="447">
      <c r="D447" s="1"/>
      <c r="E447" s="96"/>
    </row>
    <row r="448">
      <c r="D448" s="1"/>
      <c r="E448" s="96"/>
    </row>
    <row r="449">
      <c r="D449" s="1"/>
      <c r="E449" s="96"/>
    </row>
    <row r="450">
      <c r="D450" s="1"/>
      <c r="E450" s="96"/>
    </row>
    <row r="451">
      <c r="D451" s="1"/>
      <c r="E451" s="96"/>
    </row>
    <row r="452">
      <c r="D452" s="1"/>
      <c r="E452" s="96"/>
    </row>
    <row r="453">
      <c r="D453" s="1"/>
      <c r="E453" s="96"/>
    </row>
    <row r="454">
      <c r="D454" s="1"/>
      <c r="E454" s="96"/>
    </row>
    <row r="455">
      <c r="D455" s="1"/>
      <c r="E455" s="96"/>
    </row>
    <row r="456">
      <c r="D456" s="1"/>
      <c r="E456" s="96"/>
    </row>
    <row r="457">
      <c r="D457" s="1"/>
      <c r="E457" s="96"/>
    </row>
    <row r="458">
      <c r="D458" s="1"/>
      <c r="E458" s="96"/>
    </row>
    <row r="459">
      <c r="D459" s="1"/>
      <c r="E459" s="96"/>
    </row>
    <row r="460">
      <c r="D460" s="1"/>
      <c r="E460" s="96"/>
    </row>
    <row r="461">
      <c r="D461" s="1"/>
      <c r="E461" s="96"/>
    </row>
    <row r="462">
      <c r="D462" s="1"/>
      <c r="E462" s="96"/>
    </row>
    <row r="463">
      <c r="D463" s="1"/>
      <c r="E463" s="96"/>
    </row>
    <row r="464">
      <c r="D464" s="1"/>
      <c r="E464" s="96"/>
    </row>
    <row r="465">
      <c r="D465" s="1"/>
      <c r="E465" s="96"/>
    </row>
    <row r="466">
      <c r="D466" s="1"/>
      <c r="E466" s="96"/>
    </row>
    <row r="467">
      <c r="D467" s="1"/>
      <c r="E467" s="96"/>
    </row>
    <row r="468">
      <c r="D468" s="1"/>
      <c r="E468" s="96"/>
    </row>
    <row r="469">
      <c r="D469" s="1"/>
      <c r="E469" s="96"/>
    </row>
    <row r="470">
      <c r="D470" s="1"/>
      <c r="E470" s="96"/>
    </row>
    <row r="471">
      <c r="D471" s="1"/>
      <c r="E471" s="96"/>
    </row>
    <row r="472">
      <c r="D472" s="1"/>
      <c r="E472" s="96"/>
    </row>
    <row r="473">
      <c r="D473" s="1"/>
      <c r="E473" s="96"/>
    </row>
    <row r="474">
      <c r="D474" s="1"/>
      <c r="E474" s="96"/>
    </row>
    <row r="475">
      <c r="D475" s="1"/>
      <c r="E475" s="96"/>
    </row>
    <row r="476">
      <c r="D476" s="1"/>
      <c r="E476" s="96"/>
    </row>
    <row r="477">
      <c r="D477" s="1"/>
      <c r="E477" s="96"/>
    </row>
    <row r="478">
      <c r="D478" s="1"/>
      <c r="E478" s="96"/>
    </row>
    <row r="479">
      <c r="D479" s="1"/>
      <c r="E479" s="96"/>
    </row>
    <row r="480">
      <c r="D480" s="1"/>
      <c r="E480" s="96"/>
    </row>
    <row r="481">
      <c r="D481" s="1"/>
      <c r="E481" s="96"/>
    </row>
    <row r="482">
      <c r="D482" s="1"/>
      <c r="E482" s="96"/>
    </row>
    <row r="483">
      <c r="D483" s="1"/>
      <c r="E483" s="96"/>
    </row>
    <row r="484">
      <c r="D484" s="1"/>
      <c r="E484" s="96"/>
    </row>
    <row r="485">
      <c r="D485" s="1"/>
      <c r="E485" s="96"/>
    </row>
    <row r="486">
      <c r="D486" s="1"/>
      <c r="E486" s="96"/>
    </row>
    <row r="487">
      <c r="D487" s="1"/>
      <c r="E487" s="96"/>
    </row>
    <row r="488">
      <c r="D488" s="1"/>
      <c r="E488" s="96"/>
    </row>
    <row r="489">
      <c r="D489" s="1"/>
      <c r="E489" s="96"/>
    </row>
    <row r="490">
      <c r="D490" s="1"/>
      <c r="E490" s="96"/>
    </row>
    <row r="491">
      <c r="D491" s="1"/>
      <c r="E491" s="96"/>
    </row>
    <row r="492">
      <c r="D492" s="1"/>
      <c r="E492" s="96"/>
    </row>
    <row r="493">
      <c r="D493" s="1"/>
      <c r="E493" s="96"/>
    </row>
    <row r="494">
      <c r="D494" s="1"/>
      <c r="E494" s="96"/>
    </row>
    <row r="495">
      <c r="D495" s="1"/>
      <c r="E495" s="96"/>
    </row>
    <row r="496">
      <c r="D496" s="1"/>
      <c r="E496" s="96"/>
    </row>
    <row r="497">
      <c r="D497" s="1"/>
      <c r="E497" s="96"/>
    </row>
    <row r="498">
      <c r="D498" s="1"/>
      <c r="E498" s="96"/>
    </row>
    <row r="499">
      <c r="D499" s="1"/>
      <c r="E499" s="96"/>
    </row>
    <row r="500">
      <c r="D500" s="1"/>
      <c r="E500" s="96"/>
    </row>
    <row r="501">
      <c r="D501" s="1"/>
      <c r="E501" s="96"/>
    </row>
    <row r="502">
      <c r="D502" s="1"/>
      <c r="E502" s="96"/>
    </row>
    <row r="503">
      <c r="D503" s="1"/>
      <c r="E503" s="96"/>
    </row>
    <row r="504">
      <c r="D504" s="1"/>
      <c r="E504" s="96"/>
    </row>
    <row r="505">
      <c r="D505" s="1"/>
      <c r="E505" s="96"/>
    </row>
    <row r="506">
      <c r="D506" s="1"/>
      <c r="E506" s="96"/>
    </row>
    <row r="507">
      <c r="D507" s="1"/>
      <c r="E507" s="96"/>
    </row>
    <row r="508">
      <c r="D508" s="1"/>
      <c r="E508" s="96"/>
    </row>
    <row r="509">
      <c r="D509" s="1"/>
      <c r="E509" s="96"/>
    </row>
    <row r="510">
      <c r="D510" s="1"/>
      <c r="E510" s="96"/>
    </row>
    <row r="511">
      <c r="D511" s="1"/>
      <c r="E511" s="96"/>
    </row>
    <row r="512">
      <c r="D512" s="1"/>
      <c r="E512" s="96"/>
    </row>
    <row r="513">
      <c r="D513" s="1"/>
      <c r="E513" s="96"/>
    </row>
    <row r="514">
      <c r="D514" s="1"/>
      <c r="E514" s="96"/>
    </row>
    <row r="515">
      <c r="D515" s="1"/>
      <c r="E515" s="96"/>
    </row>
    <row r="516">
      <c r="D516" s="1"/>
      <c r="E516" s="96"/>
    </row>
    <row r="517">
      <c r="D517" s="1"/>
      <c r="E517" s="96"/>
    </row>
    <row r="518">
      <c r="D518" s="1"/>
      <c r="E518" s="96"/>
    </row>
    <row r="519">
      <c r="D519" s="1"/>
      <c r="E519" s="96"/>
    </row>
    <row r="520">
      <c r="D520" s="1"/>
      <c r="E520" s="96"/>
    </row>
    <row r="521">
      <c r="D521" s="1"/>
      <c r="E521" s="96"/>
    </row>
    <row r="522">
      <c r="D522" s="1"/>
      <c r="E522" s="96"/>
    </row>
    <row r="523">
      <c r="D523" s="1"/>
      <c r="E523" s="96"/>
    </row>
    <row r="524">
      <c r="D524" s="1"/>
      <c r="E524" s="96"/>
    </row>
    <row r="525">
      <c r="D525" s="1"/>
      <c r="E525" s="96"/>
    </row>
    <row r="526">
      <c r="D526" s="1"/>
      <c r="E526" s="96"/>
    </row>
    <row r="527">
      <c r="D527" s="1"/>
      <c r="E527" s="96"/>
    </row>
    <row r="528">
      <c r="D528" s="1"/>
      <c r="E528" s="96"/>
    </row>
    <row r="529">
      <c r="D529" s="1"/>
      <c r="E529" s="96"/>
    </row>
    <row r="530">
      <c r="D530" s="1"/>
      <c r="E530" s="96"/>
    </row>
    <row r="531">
      <c r="D531" s="1"/>
      <c r="E531" s="96"/>
    </row>
    <row r="532">
      <c r="D532" s="1"/>
      <c r="E532" s="96"/>
    </row>
    <row r="533">
      <c r="D533" s="1"/>
      <c r="E533" s="96"/>
    </row>
    <row r="534">
      <c r="D534" s="1"/>
      <c r="E534" s="96"/>
    </row>
    <row r="535">
      <c r="D535" s="1"/>
      <c r="E535" s="96"/>
    </row>
    <row r="536">
      <c r="D536" s="1"/>
      <c r="E536" s="96"/>
    </row>
    <row r="537">
      <c r="D537" s="1"/>
      <c r="E537" s="96"/>
    </row>
    <row r="538">
      <c r="D538" s="1"/>
      <c r="E538" s="96"/>
    </row>
    <row r="539">
      <c r="D539" s="1"/>
      <c r="E539" s="96"/>
    </row>
    <row r="540">
      <c r="D540" s="1"/>
      <c r="E540" s="96"/>
    </row>
    <row r="541">
      <c r="D541" s="1"/>
      <c r="E541" s="96"/>
    </row>
    <row r="542">
      <c r="D542" s="1"/>
      <c r="E542" s="96"/>
    </row>
    <row r="543">
      <c r="D543" s="1"/>
      <c r="E543" s="96"/>
    </row>
    <row r="544">
      <c r="D544" s="1"/>
      <c r="E544" s="96"/>
    </row>
    <row r="545">
      <c r="D545" s="1"/>
      <c r="E545" s="96"/>
    </row>
    <row r="546">
      <c r="D546" s="1"/>
      <c r="E546" s="96"/>
    </row>
    <row r="547">
      <c r="D547" s="1"/>
      <c r="E547" s="96"/>
    </row>
    <row r="548">
      <c r="D548" s="1"/>
      <c r="E548" s="96"/>
    </row>
    <row r="549">
      <c r="D549" s="1"/>
      <c r="E549" s="96"/>
    </row>
    <row r="550">
      <c r="D550" s="1"/>
      <c r="E550" s="96"/>
    </row>
    <row r="551">
      <c r="D551" s="1"/>
      <c r="E551" s="96"/>
    </row>
    <row r="552">
      <c r="D552" s="1"/>
      <c r="E552" s="96"/>
    </row>
    <row r="553">
      <c r="D553" s="1"/>
      <c r="E553" s="96"/>
    </row>
    <row r="554">
      <c r="D554" s="1"/>
      <c r="E554" s="96"/>
    </row>
    <row r="555">
      <c r="D555" s="1"/>
      <c r="E555" s="96"/>
    </row>
    <row r="556">
      <c r="D556" s="1"/>
      <c r="E556" s="96"/>
    </row>
    <row r="557">
      <c r="D557" s="1"/>
      <c r="E557" s="96"/>
    </row>
    <row r="558">
      <c r="D558" s="1"/>
      <c r="E558" s="96"/>
    </row>
    <row r="559">
      <c r="D559" s="1"/>
      <c r="E559" s="96"/>
    </row>
    <row r="560">
      <c r="D560" s="1"/>
      <c r="E560" s="96"/>
    </row>
    <row r="561">
      <c r="D561" s="1"/>
      <c r="E561" s="96"/>
    </row>
    <row r="562">
      <c r="D562" s="1"/>
      <c r="E562" s="96"/>
    </row>
    <row r="563">
      <c r="D563" s="1"/>
      <c r="E563" s="96"/>
    </row>
    <row r="564">
      <c r="D564" s="1"/>
      <c r="E564" s="96"/>
    </row>
    <row r="565">
      <c r="D565" s="1"/>
      <c r="E565" s="96"/>
    </row>
    <row r="566">
      <c r="D566" s="1"/>
      <c r="E566" s="96"/>
    </row>
    <row r="567">
      <c r="D567" s="1"/>
      <c r="E567" s="96"/>
    </row>
    <row r="568">
      <c r="D568" s="1"/>
      <c r="E568" s="96"/>
    </row>
    <row r="569">
      <c r="D569" s="1"/>
      <c r="E569" s="96"/>
    </row>
    <row r="570">
      <c r="D570" s="1"/>
      <c r="E570" s="96"/>
    </row>
    <row r="571">
      <c r="D571" s="1"/>
      <c r="E571" s="96"/>
    </row>
    <row r="572">
      <c r="D572" s="1"/>
      <c r="E572" s="96"/>
    </row>
    <row r="573">
      <c r="D573" s="1"/>
      <c r="E573" s="96"/>
    </row>
    <row r="574">
      <c r="D574" s="1"/>
      <c r="E574" s="96"/>
    </row>
    <row r="575">
      <c r="D575" s="1"/>
      <c r="E575" s="96"/>
    </row>
    <row r="576">
      <c r="D576" s="1"/>
      <c r="E576" s="96"/>
    </row>
    <row r="577">
      <c r="D577" s="1"/>
      <c r="E577" s="96"/>
    </row>
    <row r="578">
      <c r="D578" s="1"/>
      <c r="E578" s="96"/>
    </row>
    <row r="579">
      <c r="D579" s="1"/>
      <c r="E579" s="96"/>
    </row>
    <row r="580">
      <c r="D580" s="1"/>
      <c r="E580" s="96"/>
    </row>
    <row r="581">
      <c r="D581" s="1"/>
      <c r="E581" s="96"/>
    </row>
    <row r="582">
      <c r="D582" s="1"/>
      <c r="E582" s="96"/>
    </row>
    <row r="583">
      <c r="D583" s="1"/>
      <c r="E583" s="96"/>
    </row>
    <row r="584">
      <c r="D584" s="1"/>
      <c r="E584" s="96"/>
    </row>
    <row r="585">
      <c r="D585" s="1"/>
      <c r="E585" s="96"/>
    </row>
    <row r="586">
      <c r="D586" s="1"/>
      <c r="E586" s="96"/>
    </row>
    <row r="587">
      <c r="D587" s="1"/>
      <c r="E587" s="96"/>
    </row>
    <row r="588">
      <c r="D588" s="1"/>
      <c r="E588" s="96"/>
    </row>
    <row r="589">
      <c r="D589" s="1"/>
      <c r="E589" s="96"/>
    </row>
    <row r="590">
      <c r="D590" s="1"/>
      <c r="E590" s="96"/>
    </row>
    <row r="591">
      <c r="D591" s="1"/>
      <c r="E591" s="96"/>
    </row>
    <row r="592">
      <c r="D592" s="1"/>
      <c r="E592" s="96"/>
    </row>
    <row r="593">
      <c r="D593" s="1"/>
      <c r="E593" s="96"/>
    </row>
    <row r="594">
      <c r="D594" s="1"/>
      <c r="E594" s="96"/>
    </row>
    <row r="595">
      <c r="D595" s="1"/>
      <c r="E595" s="96"/>
    </row>
    <row r="596">
      <c r="D596" s="1"/>
      <c r="E596" s="96"/>
    </row>
    <row r="597">
      <c r="D597" s="1"/>
      <c r="E597" s="96"/>
    </row>
    <row r="598">
      <c r="D598" s="1"/>
      <c r="E598" s="96"/>
    </row>
    <row r="599">
      <c r="D599" s="1"/>
      <c r="E599" s="96"/>
    </row>
    <row r="600">
      <c r="D600" s="1"/>
      <c r="E600" s="96"/>
    </row>
    <row r="601">
      <c r="D601" s="1"/>
      <c r="E601" s="96"/>
    </row>
    <row r="602">
      <c r="D602" s="1"/>
      <c r="E602" s="96"/>
    </row>
    <row r="603">
      <c r="D603" s="1"/>
      <c r="E603" s="96"/>
    </row>
    <row r="604">
      <c r="D604" s="1"/>
      <c r="E604" s="96"/>
    </row>
    <row r="605">
      <c r="D605" s="1"/>
      <c r="E605" s="96"/>
    </row>
    <row r="606">
      <c r="D606" s="1"/>
      <c r="E606" s="96"/>
    </row>
    <row r="607">
      <c r="D607" s="1"/>
      <c r="E607" s="96"/>
    </row>
    <row r="608">
      <c r="D608" s="1"/>
      <c r="E608" s="96"/>
    </row>
    <row r="609">
      <c r="D609" s="1"/>
      <c r="E609" s="96"/>
    </row>
    <row r="610">
      <c r="D610" s="1"/>
      <c r="E610" s="96"/>
    </row>
    <row r="611">
      <c r="D611" s="1"/>
      <c r="E611" s="96"/>
    </row>
    <row r="612">
      <c r="D612" s="1"/>
      <c r="E612" s="96"/>
    </row>
    <row r="613">
      <c r="D613" s="1"/>
      <c r="E613" s="96"/>
    </row>
    <row r="614">
      <c r="D614" s="1"/>
      <c r="E614" s="96"/>
    </row>
    <row r="615">
      <c r="D615" s="1"/>
      <c r="E615" s="96"/>
    </row>
    <row r="616">
      <c r="D616" s="1"/>
      <c r="E616" s="96"/>
    </row>
    <row r="617">
      <c r="D617" s="1"/>
      <c r="E617" s="96"/>
    </row>
    <row r="618">
      <c r="D618" s="1"/>
      <c r="E618" s="96"/>
    </row>
    <row r="619">
      <c r="D619" s="1"/>
      <c r="E619" s="96"/>
    </row>
    <row r="620">
      <c r="D620" s="1"/>
      <c r="E620" s="96"/>
    </row>
    <row r="621">
      <c r="D621" s="1"/>
      <c r="E621" s="96"/>
    </row>
    <row r="622">
      <c r="D622" s="1"/>
      <c r="E622" s="96"/>
    </row>
    <row r="623">
      <c r="D623" s="1"/>
      <c r="E623" s="96"/>
    </row>
    <row r="624">
      <c r="D624" s="1"/>
      <c r="E624" s="96"/>
    </row>
    <row r="625">
      <c r="D625" s="1"/>
      <c r="E625" s="96"/>
    </row>
    <row r="626">
      <c r="D626" s="1"/>
      <c r="E626" s="96"/>
    </row>
    <row r="627">
      <c r="D627" s="1"/>
      <c r="E627" s="96"/>
    </row>
    <row r="628">
      <c r="D628" s="1"/>
      <c r="E628" s="96"/>
    </row>
    <row r="629">
      <c r="D629" s="1"/>
      <c r="E629" s="96"/>
    </row>
    <row r="630">
      <c r="D630" s="1"/>
      <c r="E630" s="96"/>
    </row>
    <row r="631">
      <c r="D631" s="1"/>
      <c r="E631" s="96"/>
    </row>
    <row r="632">
      <c r="D632" s="1"/>
      <c r="E632" s="96"/>
    </row>
    <row r="633">
      <c r="D633" s="1"/>
      <c r="E633" s="96"/>
    </row>
    <row r="634">
      <c r="D634" s="1"/>
      <c r="E634" s="96"/>
    </row>
    <row r="635">
      <c r="D635" s="1"/>
      <c r="E635" s="96"/>
    </row>
    <row r="636">
      <c r="D636" s="1"/>
      <c r="E636" s="96"/>
    </row>
    <row r="637">
      <c r="D637" s="1"/>
      <c r="E637" s="96"/>
    </row>
    <row r="638">
      <c r="D638" s="1"/>
      <c r="E638" s="96"/>
    </row>
    <row r="639">
      <c r="D639" s="1"/>
      <c r="E639" s="96"/>
    </row>
    <row r="640">
      <c r="D640" s="1"/>
      <c r="E640" s="96"/>
    </row>
    <row r="641">
      <c r="D641" s="1"/>
      <c r="E641" s="96"/>
    </row>
    <row r="642">
      <c r="D642" s="1"/>
      <c r="E642" s="96"/>
    </row>
    <row r="643">
      <c r="D643" s="1"/>
      <c r="E643" s="96"/>
    </row>
    <row r="644">
      <c r="D644" s="1"/>
      <c r="E644" s="96"/>
    </row>
    <row r="645">
      <c r="D645" s="1"/>
      <c r="E645" s="96"/>
    </row>
    <row r="646">
      <c r="D646" s="1"/>
      <c r="E646" s="96"/>
    </row>
    <row r="647">
      <c r="D647" s="1"/>
      <c r="E647" s="96"/>
    </row>
    <row r="648">
      <c r="D648" s="1"/>
      <c r="E648" s="96"/>
    </row>
    <row r="649">
      <c r="D649" s="1"/>
      <c r="E649" s="96"/>
    </row>
    <row r="650">
      <c r="D650" s="1"/>
      <c r="E650" s="96"/>
    </row>
    <row r="651">
      <c r="D651" s="1"/>
      <c r="E651" s="96"/>
    </row>
    <row r="652">
      <c r="D652" s="1"/>
      <c r="E652" s="96"/>
    </row>
    <row r="653">
      <c r="D653" s="1"/>
      <c r="E653" s="96"/>
    </row>
    <row r="654">
      <c r="D654" s="1"/>
      <c r="E654" s="96"/>
    </row>
    <row r="655">
      <c r="D655" s="1"/>
      <c r="E655" s="96"/>
    </row>
    <row r="656">
      <c r="D656" s="1"/>
      <c r="E656" s="96"/>
    </row>
    <row r="657">
      <c r="D657" s="1"/>
      <c r="E657" s="96"/>
    </row>
    <row r="658">
      <c r="D658" s="1"/>
      <c r="E658" s="96"/>
    </row>
    <row r="659">
      <c r="D659" s="1"/>
      <c r="E659" s="96"/>
    </row>
    <row r="660">
      <c r="D660" s="1"/>
      <c r="E660" s="96"/>
    </row>
    <row r="661">
      <c r="D661" s="1"/>
      <c r="E661" s="96"/>
    </row>
    <row r="662">
      <c r="D662" s="1"/>
      <c r="E662" s="96"/>
    </row>
    <row r="663">
      <c r="D663" s="1"/>
      <c r="E663" s="96"/>
    </row>
    <row r="664">
      <c r="D664" s="1"/>
      <c r="E664" s="96"/>
    </row>
    <row r="665">
      <c r="D665" s="1"/>
      <c r="E665" s="96"/>
    </row>
    <row r="666">
      <c r="D666" s="1"/>
      <c r="E666" s="96"/>
    </row>
    <row r="667">
      <c r="D667" s="1"/>
      <c r="E667" s="96"/>
    </row>
    <row r="668">
      <c r="D668" s="1"/>
      <c r="E668" s="96"/>
    </row>
    <row r="669">
      <c r="D669" s="1"/>
      <c r="E669" s="96"/>
    </row>
    <row r="670">
      <c r="D670" s="1"/>
      <c r="E670" s="96"/>
    </row>
    <row r="671">
      <c r="D671" s="1"/>
      <c r="E671" s="96"/>
    </row>
    <row r="672">
      <c r="D672" s="1"/>
      <c r="E672" s="96"/>
    </row>
    <row r="673">
      <c r="D673" s="1"/>
      <c r="E673" s="96"/>
    </row>
    <row r="674">
      <c r="D674" s="1"/>
      <c r="E674" s="96"/>
    </row>
    <row r="675">
      <c r="D675" s="1"/>
      <c r="E675" s="96"/>
    </row>
    <row r="676">
      <c r="D676" s="1"/>
      <c r="E676" s="96"/>
    </row>
    <row r="677">
      <c r="D677" s="1"/>
      <c r="E677" s="96"/>
    </row>
    <row r="678">
      <c r="D678" s="1"/>
      <c r="E678" s="96"/>
    </row>
    <row r="679">
      <c r="D679" s="1"/>
      <c r="E679" s="96"/>
    </row>
    <row r="680">
      <c r="D680" s="1"/>
      <c r="E680" s="96"/>
    </row>
    <row r="681">
      <c r="D681" s="1"/>
      <c r="E681" s="96"/>
    </row>
    <row r="682">
      <c r="D682" s="1"/>
      <c r="E682" s="96"/>
    </row>
    <row r="683">
      <c r="D683" s="1"/>
      <c r="E683" s="96"/>
    </row>
    <row r="684">
      <c r="D684" s="1"/>
      <c r="E684" s="96"/>
    </row>
    <row r="685">
      <c r="D685" s="1"/>
      <c r="E685" s="96"/>
    </row>
    <row r="686">
      <c r="D686" s="1"/>
      <c r="E686" s="96"/>
    </row>
    <row r="687">
      <c r="D687" s="1"/>
      <c r="E687" s="96"/>
    </row>
    <row r="688">
      <c r="D688" s="1"/>
      <c r="E688" s="96"/>
    </row>
    <row r="689">
      <c r="D689" s="1"/>
      <c r="E689" s="96"/>
    </row>
    <row r="690">
      <c r="D690" s="1"/>
      <c r="E690" s="96"/>
    </row>
    <row r="691">
      <c r="D691" s="1"/>
      <c r="E691" s="96"/>
    </row>
    <row r="692">
      <c r="D692" s="1"/>
      <c r="E692" s="96"/>
    </row>
    <row r="693">
      <c r="D693" s="1"/>
      <c r="E693" s="96"/>
    </row>
    <row r="694">
      <c r="D694" s="1"/>
      <c r="E694" s="96"/>
    </row>
    <row r="695">
      <c r="D695" s="1"/>
      <c r="E695" s="96"/>
    </row>
    <row r="696">
      <c r="D696" s="1"/>
      <c r="E696" s="96"/>
    </row>
    <row r="697">
      <c r="D697" s="1"/>
      <c r="E697" s="96"/>
    </row>
    <row r="698">
      <c r="D698" s="1"/>
      <c r="E698" s="96"/>
    </row>
    <row r="699">
      <c r="D699" s="1"/>
      <c r="E699" s="96"/>
    </row>
    <row r="700">
      <c r="D700" s="1"/>
      <c r="E700" s="96"/>
    </row>
    <row r="701">
      <c r="D701" s="1"/>
      <c r="E701" s="96"/>
    </row>
    <row r="702">
      <c r="D702" s="1"/>
      <c r="E702" s="96"/>
    </row>
    <row r="703">
      <c r="D703" s="1"/>
      <c r="E703" s="96"/>
    </row>
    <row r="704">
      <c r="D704" s="1"/>
      <c r="E704" s="96"/>
    </row>
    <row r="705">
      <c r="D705" s="1"/>
      <c r="E705" s="96"/>
    </row>
    <row r="706">
      <c r="D706" s="1"/>
      <c r="E706" s="96"/>
    </row>
    <row r="707">
      <c r="D707" s="1"/>
      <c r="E707" s="96"/>
    </row>
    <row r="708">
      <c r="D708" s="1"/>
      <c r="E708" s="96"/>
    </row>
    <row r="709">
      <c r="D709" s="1"/>
      <c r="E709" s="96"/>
    </row>
    <row r="710">
      <c r="D710" s="1"/>
      <c r="E710" s="96"/>
    </row>
    <row r="711">
      <c r="D711" s="1"/>
      <c r="E711" s="96"/>
    </row>
    <row r="712">
      <c r="D712" s="1"/>
      <c r="E712" s="96"/>
    </row>
    <row r="713">
      <c r="D713" s="1"/>
      <c r="E713" s="96"/>
    </row>
    <row r="714">
      <c r="D714" s="1"/>
      <c r="E714" s="96"/>
    </row>
    <row r="715">
      <c r="D715" s="1"/>
      <c r="E715" s="96"/>
    </row>
    <row r="716">
      <c r="D716" s="1"/>
      <c r="E716" s="96"/>
    </row>
    <row r="717">
      <c r="D717" s="1"/>
      <c r="E717" s="96"/>
    </row>
    <row r="718">
      <c r="D718" s="1"/>
      <c r="E718" s="96"/>
    </row>
    <row r="719">
      <c r="D719" s="1"/>
      <c r="E719" s="96"/>
    </row>
    <row r="720">
      <c r="D720" s="1"/>
      <c r="E720" s="96"/>
    </row>
    <row r="721">
      <c r="D721" s="1"/>
      <c r="E721" s="96"/>
    </row>
    <row r="722">
      <c r="D722" s="1"/>
      <c r="E722" s="96"/>
    </row>
    <row r="723">
      <c r="D723" s="1"/>
      <c r="E723" s="96"/>
    </row>
    <row r="724">
      <c r="D724" s="1"/>
      <c r="E724" s="96"/>
    </row>
    <row r="725">
      <c r="D725" s="1"/>
      <c r="E725" s="96"/>
    </row>
    <row r="726">
      <c r="D726" s="1"/>
      <c r="E726" s="96"/>
    </row>
    <row r="727">
      <c r="D727" s="1"/>
      <c r="E727" s="96"/>
    </row>
    <row r="728">
      <c r="D728" s="1"/>
      <c r="E728" s="96"/>
    </row>
    <row r="729">
      <c r="D729" s="1"/>
      <c r="E729" s="96"/>
    </row>
    <row r="730">
      <c r="D730" s="1"/>
      <c r="E730" s="96"/>
    </row>
    <row r="731">
      <c r="D731" s="1"/>
      <c r="E731" s="96"/>
    </row>
    <row r="732">
      <c r="D732" s="1"/>
      <c r="E732" s="96"/>
    </row>
    <row r="733">
      <c r="D733" s="1"/>
      <c r="E733" s="96"/>
    </row>
    <row r="734">
      <c r="D734" s="1"/>
      <c r="E734" s="96"/>
    </row>
    <row r="735">
      <c r="D735" s="1"/>
      <c r="E735" s="96"/>
    </row>
    <row r="736">
      <c r="D736" s="1"/>
      <c r="E736" s="96"/>
    </row>
    <row r="737">
      <c r="D737" s="1"/>
      <c r="E737" s="96"/>
    </row>
    <row r="738">
      <c r="D738" s="1"/>
      <c r="E738" s="96"/>
    </row>
    <row r="739">
      <c r="D739" s="1"/>
      <c r="E739" s="96"/>
    </row>
    <row r="740">
      <c r="D740" s="1"/>
      <c r="E740" s="96"/>
    </row>
    <row r="741">
      <c r="D741" s="1"/>
      <c r="E741" s="96"/>
    </row>
    <row r="742">
      <c r="D742" s="1"/>
      <c r="E742" s="96"/>
    </row>
    <row r="743">
      <c r="D743" s="1"/>
      <c r="E743" s="96"/>
    </row>
    <row r="744">
      <c r="D744" s="1"/>
      <c r="E744" s="96"/>
    </row>
    <row r="745">
      <c r="D745" s="1"/>
      <c r="E745" s="96"/>
    </row>
    <row r="746">
      <c r="D746" s="1"/>
      <c r="E746" s="96"/>
    </row>
    <row r="747">
      <c r="D747" s="1"/>
      <c r="E747" s="96"/>
    </row>
    <row r="748">
      <c r="D748" s="1"/>
      <c r="E748" s="96"/>
    </row>
    <row r="749">
      <c r="D749" s="1"/>
      <c r="E749" s="96"/>
    </row>
    <row r="750">
      <c r="D750" s="1"/>
      <c r="E750" s="96"/>
    </row>
    <row r="751">
      <c r="D751" s="1"/>
      <c r="E751" s="96"/>
    </row>
    <row r="752">
      <c r="D752" s="1"/>
      <c r="E752" s="96"/>
    </row>
    <row r="753">
      <c r="D753" s="1"/>
      <c r="E753" s="96"/>
    </row>
    <row r="754">
      <c r="D754" s="1"/>
      <c r="E754" s="96"/>
    </row>
    <row r="755">
      <c r="D755" s="1"/>
      <c r="E755" s="96"/>
    </row>
    <row r="756">
      <c r="D756" s="1"/>
      <c r="E756" s="96"/>
    </row>
    <row r="757">
      <c r="D757" s="1"/>
      <c r="E757" s="96"/>
    </row>
    <row r="758">
      <c r="D758" s="1"/>
      <c r="E758" s="96"/>
    </row>
    <row r="759">
      <c r="D759" s="1"/>
      <c r="E759" s="96"/>
    </row>
    <row r="760">
      <c r="D760" s="1"/>
      <c r="E760" s="96"/>
    </row>
    <row r="761">
      <c r="D761" s="1"/>
      <c r="E761" s="96"/>
    </row>
    <row r="762">
      <c r="D762" s="1"/>
      <c r="E762" s="96"/>
    </row>
    <row r="763">
      <c r="D763" s="1"/>
      <c r="E763" s="96"/>
    </row>
    <row r="764">
      <c r="D764" s="1"/>
      <c r="E764" s="96"/>
    </row>
    <row r="765">
      <c r="D765" s="1"/>
      <c r="E765" s="96"/>
    </row>
    <row r="766">
      <c r="D766" s="1"/>
      <c r="E766" s="96"/>
    </row>
    <row r="767">
      <c r="D767" s="1"/>
      <c r="E767" s="96"/>
    </row>
    <row r="768">
      <c r="D768" s="1"/>
      <c r="E768" s="96"/>
    </row>
    <row r="769">
      <c r="D769" s="1"/>
      <c r="E769" s="96"/>
    </row>
    <row r="770">
      <c r="D770" s="1"/>
      <c r="E770" s="96"/>
    </row>
    <row r="771">
      <c r="D771" s="1"/>
      <c r="E771" s="96"/>
    </row>
    <row r="772">
      <c r="D772" s="1"/>
      <c r="E772" s="96"/>
    </row>
    <row r="773">
      <c r="D773" s="1"/>
      <c r="E773" s="96"/>
    </row>
    <row r="774">
      <c r="D774" s="1"/>
      <c r="E774" s="96"/>
    </row>
    <row r="775">
      <c r="D775" s="1"/>
      <c r="E775" s="96"/>
    </row>
    <row r="776">
      <c r="D776" s="1"/>
      <c r="E776" s="96"/>
    </row>
    <row r="777">
      <c r="D777" s="1"/>
      <c r="E777" s="96"/>
    </row>
    <row r="778">
      <c r="D778" s="1"/>
      <c r="E778" s="96"/>
    </row>
    <row r="779">
      <c r="D779" s="1"/>
      <c r="E779" s="96"/>
    </row>
    <row r="780">
      <c r="D780" s="1"/>
      <c r="E780" s="96"/>
    </row>
    <row r="781">
      <c r="D781" s="1"/>
      <c r="E781" s="96"/>
    </row>
    <row r="782">
      <c r="D782" s="1"/>
      <c r="E782" s="96"/>
    </row>
    <row r="783">
      <c r="D783" s="1"/>
      <c r="E783" s="96"/>
    </row>
    <row r="784">
      <c r="D784" s="1"/>
      <c r="E784" s="96"/>
    </row>
    <row r="785">
      <c r="D785" s="1"/>
      <c r="E785" s="96"/>
    </row>
    <row r="786">
      <c r="D786" s="1"/>
      <c r="E786" s="96"/>
    </row>
    <row r="787">
      <c r="D787" s="1"/>
      <c r="E787" s="96"/>
    </row>
    <row r="788">
      <c r="D788" s="1"/>
      <c r="E788" s="96"/>
    </row>
    <row r="789">
      <c r="D789" s="1"/>
      <c r="E789" s="96"/>
    </row>
    <row r="790">
      <c r="D790" s="1"/>
      <c r="E790" s="96"/>
    </row>
    <row r="791">
      <c r="D791" s="1"/>
      <c r="E791" s="96"/>
    </row>
    <row r="792">
      <c r="D792" s="1"/>
      <c r="E792" s="96"/>
    </row>
    <row r="793">
      <c r="D793" s="1"/>
      <c r="E793" s="96"/>
    </row>
    <row r="794">
      <c r="D794" s="1"/>
      <c r="E794" s="96"/>
    </row>
    <row r="795">
      <c r="D795" s="1"/>
      <c r="E795" s="96"/>
    </row>
    <row r="796">
      <c r="D796" s="1"/>
      <c r="E796" s="96"/>
    </row>
    <row r="797">
      <c r="D797" s="1"/>
      <c r="E797" s="96"/>
    </row>
    <row r="798">
      <c r="D798" s="1"/>
      <c r="E798" s="96"/>
    </row>
    <row r="799">
      <c r="D799" s="1"/>
      <c r="E799" s="96"/>
    </row>
    <row r="800">
      <c r="D800" s="1"/>
      <c r="E800" s="96"/>
    </row>
    <row r="801">
      <c r="D801" s="1"/>
      <c r="E801" s="96"/>
    </row>
    <row r="802">
      <c r="D802" s="1"/>
      <c r="E802" s="96"/>
    </row>
    <row r="803">
      <c r="D803" s="1"/>
      <c r="E803" s="96"/>
    </row>
    <row r="804">
      <c r="D804" s="1"/>
      <c r="E804" s="96"/>
    </row>
    <row r="805">
      <c r="D805" s="1"/>
      <c r="E805" s="96"/>
    </row>
    <row r="806">
      <c r="D806" s="1"/>
      <c r="E806" s="96"/>
    </row>
    <row r="807">
      <c r="D807" s="1"/>
      <c r="E807" s="96"/>
    </row>
    <row r="808">
      <c r="D808" s="1"/>
      <c r="E808" s="96"/>
    </row>
    <row r="809">
      <c r="D809" s="1"/>
      <c r="E809" s="96"/>
    </row>
    <row r="810">
      <c r="D810" s="1"/>
      <c r="E810" s="96"/>
    </row>
    <row r="811">
      <c r="D811" s="1"/>
      <c r="E811" s="96"/>
    </row>
    <row r="812">
      <c r="D812" s="1"/>
      <c r="E812" s="96"/>
    </row>
    <row r="813">
      <c r="D813" s="1"/>
      <c r="E813" s="96"/>
    </row>
    <row r="814">
      <c r="D814" s="1"/>
      <c r="E814" s="96"/>
    </row>
    <row r="815">
      <c r="D815" s="1"/>
      <c r="E815" s="96"/>
    </row>
    <row r="816">
      <c r="D816" s="1"/>
      <c r="E816" s="96"/>
    </row>
    <row r="817">
      <c r="D817" s="1"/>
      <c r="E817" s="96"/>
    </row>
    <row r="818">
      <c r="D818" s="1"/>
      <c r="E818" s="96"/>
    </row>
    <row r="819">
      <c r="D819" s="1"/>
      <c r="E819" s="96"/>
    </row>
    <row r="820">
      <c r="D820" s="1"/>
      <c r="E820" s="96"/>
    </row>
    <row r="821">
      <c r="D821" s="1"/>
      <c r="E821" s="96"/>
    </row>
    <row r="822">
      <c r="D822" s="1"/>
      <c r="E822" s="96"/>
    </row>
    <row r="823">
      <c r="D823" s="1"/>
      <c r="E823" s="96"/>
    </row>
    <row r="824">
      <c r="D824" s="1"/>
      <c r="E824" s="96"/>
    </row>
    <row r="825">
      <c r="D825" s="1"/>
      <c r="E825" s="96"/>
    </row>
    <row r="826">
      <c r="D826" s="1"/>
      <c r="E826" s="96"/>
    </row>
    <row r="827">
      <c r="D827" s="1"/>
      <c r="E827" s="96"/>
    </row>
    <row r="828">
      <c r="D828" s="1"/>
      <c r="E828" s="96"/>
    </row>
    <row r="829">
      <c r="D829" s="1"/>
      <c r="E829" s="96"/>
    </row>
    <row r="830">
      <c r="D830" s="1"/>
      <c r="E830" s="96"/>
    </row>
    <row r="831">
      <c r="D831" s="1"/>
      <c r="E831" s="96"/>
    </row>
    <row r="832">
      <c r="D832" s="1"/>
      <c r="E832" s="96"/>
    </row>
    <row r="833">
      <c r="D833" s="1"/>
      <c r="E833" s="96"/>
    </row>
    <row r="834">
      <c r="D834" s="1"/>
      <c r="E834" s="96"/>
    </row>
    <row r="835">
      <c r="D835" s="1"/>
      <c r="E835" s="96"/>
    </row>
    <row r="836">
      <c r="D836" s="1"/>
      <c r="E836" s="96"/>
    </row>
    <row r="837">
      <c r="D837" s="1"/>
      <c r="E837" s="96"/>
    </row>
    <row r="838">
      <c r="D838" s="1"/>
      <c r="E838" s="96"/>
    </row>
    <row r="839">
      <c r="D839" s="1"/>
      <c r="E839" s="96"/>
    </row>
    <row r="840">
      <c r="D840" s="1"/>
      <c r="E840" s="96"/>
    </row>
    <row r="841">
      <c r="D841" s="1"/>
      <c r="E841" s="96"/>
    </row>
    <row r="842">
      <c r="D842" s="1"/>
      <c r="E842" s="96"/>
    </row>
    <row r="843">
      <c r="D843" s="1"/>
      <c r="E843" s="96"/>
    </row>
    <row r="844">
      <c r="D844" s="1"/>
      <c r="E844" s="96"/>
    </row>
    <row r="845">
      <c r="D845" s="1"/>
      <c r="E845" s="96"/>
    </row>
    <row r="846">
      <c r="D846" s="1"/>
      <c r="E846" s="96"/>
    </row>
    <row r="847">
      <c r="D847" s="1"/>
      <c r="E847" s="96"/>
    </row>
    <row r="848">
      <c r="D848" s="1"/>
      <c r="E848" s="96"/>
    </row>
    <row r="849">
      <c r="D849" s="1"/>
      <c r="E849" s="96"/>
    </row>
    <row r="850">
      <c r="D850" s="1"/>
      <c r="E850" s="96"/>
    </row>
    <row r="851">
      <c r="D851" s="1"/>
      <c r="E851" s="96"/>
    </row>
    <row r="852">
      <c r="D852" s="1"/>
      <c r="E852" s="96"/>
    </row>
    <row r="853">
      <c r="D853" s="1"/>
      <c r="E853" s="96"/>
    </row>
    <row r="854">
      <c r="D854" s="1"/>
      <c r="E854" s="96"/>
    </row>
    <row r="855">
      <c r="D855" s="1"/>
      <c r="E855" s="96"/>
    </row>
    <row r="856">
      <c r="D856" s="1"/>
      <c r="E856" s="96"/>
    </row>
    <row r="857">
      <c r="D857" s="1"/>
      <c r="E857" s="96"/>
    </row>
    <row r="858">
      <c r="D858" s="1"/>
      <c r="E858" s="96"/>
    </row>
    <row r="859">
      <c r="D859" s="1"/>
      <c r="E859" s="96"/>
    </row>
    <row r="860">
      <c r="D860" s="1"/>
      <c r="E860" s="96"/>
    </row>
    <row r="861">
      <c r="D861" s="1"/>
      <c r="E861" s="96"/>
    </row>
    <row r="862">
      <c r="D862" s="1"/>
      <c r="E862" s="96"/>
    </row>
    <row r="863">
      <c r="D863" s="1"/>
      <c r="E863" s="96"/>
    </row>
    <row r="864">
      <c r="D864" s="1"/>
      <c r="E864" s="96"/>
    </row>
    <row r="865">
      <c r="D865" s="1"/>
      <c r="E865" s="96"/>
    </row>
    <row r="866">
      <c r="D866" s="1"/>
      <c r="E866" s="96"/>
    </row>
    <row r="867">
      <c r="D867" s="1"/>
      <c r="E867" s="96"/>
    </row>
    <row r="868">
      <c r="D868" s="1"/>
      <c r="E868" s="96"/>
    </row>
    <row r="869">
      <c r="D869" s="1"/>
      <c r="E869" s="96"/>
    </row>
    <row r="870">
      <c r="D870" s="1"/>
      <c r="E870" s="96"/>
    </row>
    <row r="871">
      <c r="D871" s="1"/>
      <c r="E871" s="96"/>
    </row>
    <row r="872">
      <c r="D872" s="1"/>
      <c r="E872" s="96"/>
    </row>
    <row r="873">
      <c r="D873" s="1"/>
      <c r="E873" s="96"/>
    </row>
    <row r="874">
      <c r="D874" s="1"/>
      <c r="E874" s="96"/>
    </row>
    <row r="875">
      <c r="D875" s="1"/>
      <c r="E875" s="96"/>
    </row>
    <row r="876">
      <c r="D876" s="1"/>
      <c r="E876" s="96"/>
    </row>
    <row r="877">
      <c r="D877" s="1"/>
      <c r="E877" s="96"/>
    </row>
    <row r="878">
      <c r="D878" s="1"/>
      <c r="E878" s="96"/>
    </row>
    <row r="879">
      <c r="D879" s="1"/>
      <c r="E879" s="96"/>
    </row>
    <row r="880">
      <c r="D880" s="1"/>
      <c r="E880" s="96"/>
    </row>
    <row r="881">
      <c r="D881" s="1"/>
      <c r="E881" s="96"/>
    </row>
    <row r="882">
      <c r="D882" s="1"/>
      <c r="E882" s="96"/>
    </row>
    <row r="883">
      <c r="D883" s="1"/>
      <c r="E883" s="96"/>
    </row>
    <row r="884">
      <c r="D884" s="1"/>
      <c r="E884" s="96"/>
    </row>
    <row r="885">
      <c r="D885" s="1"/>
      <c r="E885" s="96"/>
    </row>
    <row r="886">
      <c r="D886" s="1"/>
      <c r="E886" s="96"/>
    </row>
    <row r="887">
      <c r="D887" s="1"/>
      <c r="E887" s="96"/>
    </row>
    <row r="888">
      <c r="D888" s="1"/>
      <c r="E888" s="96"/>
    </row>
    <row r="889">
      <c r="D889" s="1"/>
      <c r="E889" s="96"/>
    </row>
    <row r="890">
      <c r="D890" s="1"/>
      <c r="E890" s="96"/>
    </row>
    <row r="891">
      <c r="D891" s="1"/>
      <c r="E891" s="96"/>
    </row>
    <row r="892">
      <c r="D892" s="1"/>
      <c r="E892" s="96"/>
    </row>
    <row r="893">
      <c r="D893" s="1"/>
      <c r="E893" s="96"/>
    </row>
    <row r="894">
      <c r="D894" s="1"/>
      <c r="E894" s="96"/>
    </row>
    <row r="895">
      <c r="D895" s="1"/>
      <c r="E895" s="96"/>
    </row>
    <row r="896">
      <c r="D896" s="1"/>
      <c r="E896" s="96"/>
    </row>
    <row r="897">
      <c r="D897" s="1"/>
      <c r="E897" s="96"/>
    </row>
    <row r="898">
      <c r="D898" s="1"/>
      <c r="E898" s="96"/>
    </row>
    <row r="899">
      <c r="D899" s="1"/>
      <c r="E899" s="96"/>
    </row>
    <row r="900">
      <c r="D900" s="1"/>
      <c r="E900" s="96"/>
    </row>
    <row r="901">
      <c r="D901" s="1"/>
      <c r="E901" s="96"/>
    </row>
    <row r="902">
      <c r="D902" s="1"/>
      <c r="E902" s="96"/>
    </row>
    <row r="903">
      <c r="D903" s="1"/>
      <c r="E903" s="96"/>
    </row>
    <row r="904">
      <c r="D904" s="1"/>
      <c r="E904" s="96"/>
    </row>
    <row r="905">
      <c r="D905" s="1"/>
      <c r="E905" s="96"/>
    </row>
    <row r="906">
      <c r="D906" s="1"/>
      <c r="E906" s="96"/>
    </row>
    <row r="907">
      <c r="D907" s="1"/>
      <c r="E907" s="96"/>
    </row>
    <row r="908">
      <c r="D908" s="1"/>
      <c r="E908" s="96"/>
    </row>
    <row r="909">
      <c r="D909" s="1"/>
      <c r="E909" s="96"/>
    </row>
    <row r="910">
      <c r="D910" s="1"/>
      <c r="E910" s="96"/>
    </row>
    <row r="911">
      <c r="D911" s="1"/>
      <c r="E911" s="96"/>
    </row>
    <row r="912">
      <c r="D912" s="1"/>
      <c r="E912" s="96"/>
    </row>
    <row r="913">
      <c r="D913" s="1"/>
      <c r="E913" s="96"/>
    </row>
    <row r="914">
      <c r="D914" s="1"/>
      <c r="E914" s="96"/>
    </row>
    <row r="915">
      <c r="D915" s="1"/>
      <c r="E915" s="96"/>
    </row>
    <row r="916">
      <c r="D916" s="1"/>
      <c r="E916" s="96"/>
    </row>
    <row r="917">
      <c r="D917" s="1"/>
      <c r="E917" s="96"/>
    </row>
    <row r="918">
      <c r="D918" s="1"/>
      <c r="E918" s="96"/>
    </row>
    <row r="919">
      <c r="D919" s="1"/>
      <c r="E919" s="96"/>
    </row>
    <row r="920">
      <c r="D920" s="1"/>
      <c r="E920" s="96"/>
    </row>
  </sheetData>
  <mergeCells count="9">
    <mergeCell ref="F21:G21"/>
    <mergeCell ref="F23:G23"/>
    <mergeCell ref="F8:G8"/>
    <mergeCell ref="F9:G9"/>
    <mergeCell ref="F12:G12"/>
    <mergeCell ref="F14:G14"/>
    <mergeCell ref="F15:G15"/>
    <mergeCell ref="F17:G17"/>
    <mergeCell ref="F19:G19"/>
  </mergeCells>
  <drawing r:id="rId1"/>
</worksheet>
</file>